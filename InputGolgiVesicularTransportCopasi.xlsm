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5333" windowHeight="4583"/>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C19" i="3" l="1"/>
  <c r="C18" i="3"/>
  <c r="F18" i="3" l="1"/>
  <c r="H18" i="3" l="1"/>
  <c r="A56" i="4"/>
  <c r="E11" i="4"/>
  <c r="C11" i="4"/>
  <c r="E5" i="4"/>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D3" authorId="0" shapeId="0">
      <text>
        <r>
          <rPr>
            <b/>
            <sz val="9"/>
            <color indexed="81"/>
            <rFont val="Tahoma"/>
            <family val="2"/>
          </rPr>
          <t xml:space="preserve">  :</t>
        </r>
        <r>
          <rPr>
            <sz val="9"/>
            <color indexed="81"/>
            <rFont val="Tahoma"/>
            <family val="2"/>
          </rPr>
          <t xml:space="preserve">
When = to 1, trigger maturation in a specific way</t>
        </r>
      </text>
    </comment>
    <comment ref="F3" authorId="0" shapeId="0">
      <text>
        <r>
          <rPr>
            <b/>
            <sz val="9"/>
            <color indexed="81"/>
            <rFont val="Tahoma"/>
            <family val="2"/>
          </rPr>
          <t xml:space="preserve">  :</t>
        </r>
        <r>
          <rPr>
            <sz val="9"/>
            <color indexed="81"/>
            <rFont val="Tahoma"/>
            <family val="2"/>
          </rPr>
          <t xml:space="preserve">
If a domain is les than a given proportion of the initial value, trigger the maturation of the previous domain to compensate
</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<sst xmlns="http://schemas.openxmlformats.org/spreadsheetml/2006/main" count="1696" uniqueCount="170">
  <si>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</si>
  <si>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</si>
  <si>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</si>
  <si>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</si>
  <si>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</si>
  <si>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</si>
  <si>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</si>
  <si>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</si>
  <si>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</si>
  <si>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</si>
  <si>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</si>
  <si>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</si>
  <si>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</si>
  <si>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</si>
  <si>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</si>
  <si>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</si>
  <si>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</si>
  <si>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</si>
  <si>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</si>
  <si>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</si>
  <si>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</si>
  <si>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</si>
  <si>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</si>
  <si>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</si>
  <si>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</si>
  <si>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</si>
  <si>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</si>
  <si>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</si>
  <si>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</si>
  <si>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</si>
  <si>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</si>
  <si>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</si>
  <si>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</si>
  <si>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</si>
  <si>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</si>
  <si>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</si>
  <si>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</si>
  <si>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</si>
  <si>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</si>
  <si>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</si>
  <si>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</si>
  <si>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</si>
  <si>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</si>
  <si>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</si>
  <si>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</si>
  <si>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</si>
  <si>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</si>
  <si>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</si>
  <si>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</si>
  <si>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</si>
  <si>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</si>
  <si>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</si>
  <si>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</si>
  <si>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</si>
  <si>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</si>
  <si>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</si>
  <si>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</si>
  <si>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</si>
  <si>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</si>
  <si>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</si>
  <si>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</si>
  <si>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</si>
  <si>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</si>
  <si>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</si>
  <si>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</si>
  <si>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</si>
  <si>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</si>
  <si>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</si>
  <si>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</si>
  <si>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</si>
  <si>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</si>
  <si>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</si>
  <si>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</si>
  <si>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</si>
  <si>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</si>
  <si>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</si>
  <si>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</si>
  <si>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</si>
  <si>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</si>
  <si>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</si>
  <si>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</si>
  <si>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</si>
  <si>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</si>
  <si>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</si>
  <si>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</si>
  <si>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</si>
  <si>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</si>
  <si>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</si>
  <si>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</si>
  <si>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</si>
  <si>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</si>
  <si>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</si>
  <si>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</si>
  <si>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</si>
  <si>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</si>
  <si>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</si>
  <si>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</si>
  <si>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</si>
  <si>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</si>
  <si>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</si>
  <si>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</si>
  <si>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</si>
  <si>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</si>
  <si>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</si>
  <si>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</si>
  <si>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</si>
  <si>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</si>
  <si>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</si>
  <si>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</si>
  <si>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</si>
  <si>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</si>
  <si>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</si>
  <si>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</si>
  <si>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</si>
  <si>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</si>
  <si>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</si>
  <si>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</si>
  <si>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</si>
  <si>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</si>
  <si>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</si>
  <si>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</si>
  <si>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</si>
  <si>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</si>
  <si>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</si>
  <si>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</si>
  <si>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</si>
  <si>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</si>
  <si>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</si>
  <si>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</si>
  <si>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</si>
  <si>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</si>
  <si>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</si>
  <si>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</si>
  <si>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</si>
  <si>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</si>
  <si>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</si>
  <si>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</si>
  <si>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RabA05</t>
  </si>
  <si>
    <t>RabE05</t>
  </si>
  <si>
    <t>RabD01</t>
  </si>
  <si>
    <t>RabBRabA</t>
  </si>
  <si>
    <t>RabCRabB</t>
  </si>
  <si>
    <t>RabDRabC</t>
  </si>
  <si>
    <t>RabERabD</t>
  </si>
  <si>
    <t>medialGolgi</t>
  </si>
  <si>
    <t>ER</t>
  </si>
  <si>
    <t>ERGICGollgi</t>
  </si>
  <si>
    <t>medialGollgi</t>
  </si>
  <si>
    <t>transGollgi</t>
  </si>
  <si>
    <t>ERGollgi</t>
  </si>
  <si>
    <t>enzyme</t>
  </si>
  <si>
    <t>enzymeG55</t>
  </si>
  <si>
    <t>enzymeGo3</t>
  </si>
  <si>
    <t>Go3</t>
  </si>
  <si>
    <t>G55</t>
  </si>
  <si>
    <t>RabB05</t>
  </si>
  <si>
    <t>LuiniGolgiSinGo3.cp</t>
  </si>
  <si>
    <t>ERGolgi</t>
  </si>
  <si>
    <t>membraneFlux</t>
  </si>
  <si>
    <t>TGolgiN</t>
  </si>
  <si>
    <t>cisternLuini</t>
  </si>
  <si>
    <t xml:space="preserve">volume </t>
  </si>
  <si>
    <t>maturationTrigger</t>
  </si>
  <si>
    <t>area vesicle</t>
  </si>
  <si>
    <t>nro vesicles/cisteren</t>
  </si>
  <si>
    <t>area citern</t>
  </si>
  <si>
    <t>tub</t>
  </si>
  <si>
    <t>TfR</t>
  </si>
  <si>
    <t>TfRG</t>
  </si>
  <si>
    <t>enzymeM</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</si>
</sst>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topLeftCell="C2" zoomScaleNormal="100" workbookViewId="0">
      <selection activeCell="G9" sqref="G9"/>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35</v>
      </c>
      <c r="D2" s="11" t="s">
        <v>64</v>
      </c>
      <c r="E2" s="11">
        <v>0.5</v>
      </c>
      <c r="F2" s="11" t="s">
        <v>69</v>
      </c>
      <c r="G2" s="11">
        <v>0.5</v>
      </c>
      <c r="H2" s="11" t="s">
        <v>95</v>
      </c>
      <c r="I2" s="11">
        <v>1</v>
      </c>
      <c r="N2" s="11"/>
      <c r="O2" s="11"/>
    </row>
    <row r="3" spans="1:16" s="7" customFormat="1" x14ac:dyDescent="0.45">
      <c r="A3" s="11" t="s">
        <v>1</v>
      </c>
      <c r="B3" s="11" t="s">
        <v>97</v>
      </c>
      <c r="C3" s="12">
        <v>1</v>
      </c>
      <c r="D3" s="7" t="s">
        <v>158</v>
      </c>
      <c r="E3" s="11">
        <v>0</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C5" s="2">
        <f>1500*1500/(E2^2)</f>
        <v>9000000</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169</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169</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0.2</v>
      </c>
    </row>
    <row r="21" spans="1:15" s="7" customFormat="1" x14ac:dyDescent="0.45">
      <c r="A21" s="11" t="s">
        <v>13</v>
      </c>
      <c r="B21" s="11" t="s">
        <v>19</v>
      </c>
      <c r="C21" s="7">
        <v>0</v>
      </c>
      <c r="D21" s="11" t="s">
        <v>15</v>
      </c>
      <c r="E21" s="12">
        <v>1</v>
      </c>
      <c r="F21" s="11" t="s">
        <v>141</v>
      </c>
      <c r="G21" s="7">
        <v>0.2</v>
      </c>
      <c r="H21" s="11"/>
      <c r="I21" s="11"/>
      <c r="J21" s="11"/>
      <c r="K21" s="11"/>
      <c r="L21" s="11"/>
      <c r="M21" s="11"/>
      <c r="N21" s="11"/>
      <c r="O21" s="11"/>
    </row>
    <row r="22" spans="1:15" s="7" customFormat="1" x14ac:dyDescent="0.45">
      <c r="A22" s="11" t="s">
        <v>13</v>
      </c>
      <c r="B22" s="11" t="s">
        <v>71</v>
      </c>
      <c r="C22" s="12">
        <v>0</v>
      </c>
      <c r="D22" s="7" t="s">
        <v>60</v>
      </c>
      <c r="E22" s="7">
        <v>0</v>
      </c>
      <c r="F22" s="11" t="s">
        <v>16</v>
      </c>
      <c r="G22" s="12">
        <v>1</v>
      </c>
      <c r="H22" s="7" t="s">
        <v>142</v>
      </c>
      <c r="I22" s="7">
        <v>0.2</v>
      </c>
      <c r="J22" s="11"/>
      <c r="K22" s="11"/>
      <c r="L22" s="11"/>
      <c r="M22" s="11"/>
      <c r="N22" s="11"/>
      <c r="O22" s="11"/>
    </row>
    <row r="23" spans="1:15" s="7" customFormat="1" x14ac:dyDescent="0.45">
      <c r="A23" s="11" t="s">
        <v>13</v>
      </c>
      <c r="B23" s="11" t="s">
        <v>20</v>
      </c>
      <c r="C23" s="12">
        <v>0</v>
      </c>
      <c r="D23" s="7" t="s">
        <v>72</v>
      </c>
      <c r="E23" s="7">
        <v>0</v>
      </c>
      <c r="F23" s="7" t="s">
        <v>74</v>
      </c>
      <c r="G23" s="7">
        <v>0</v>
      </c>
      <c r="H23" s="11" t="s">
        <v>17</v>
      </c>
      <c r="I23" s="12">
        <v>1</v>
      </c>
      <c r="J23" s="7" t="s">
        <v>143</v>
      </c>
      <c r="K23" s="7">
        <v>0.2</v>
      </c>
      <c r="L23" s="11"/>
      <c r="M23" s="11"/>
      <c r="N23" s="11"/>
      <c r="O23" s="11"/>
    </row>
    <row r="24" spans="1:15" s="7" customFormat="1" x14ac:dyDescent="0.45">
      <c r="A24" s="11" t="s">
        <v>13</v>
      </c>
      <c r="B24" s="11" t="s">
        <v>70</v>
      </c>
      <c r="C24" s="12">
        <v>0</v>
      </c>
      <c r="D24" s="7" t="s">
        <v>73</v>
      </c>
      <c r="E24" s="7">
        <v>0</v>
      </c>
      <c r="F24" s="7" t="s">
        <v>21</v>
      </c>
      <c r="G24" s="7">
        <v>0</v>
      </c>
      <c r="H24" s="7" t="s">
        <v>75</v>
      </c>
      <c r="I24" s="7">
        <v>0</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-1</v>
      </c>
      <c r="D31" s="11" t="s">
        <v>7</v>
      </c>
      <c r="E31" s="12">
        <v>-1</v>
      </c>
      <c r="F31" s="11" t="s">
        <v>8</v>
      </c>
      <c r="G31" s="12">
        <v>-1</v>
      </c>
      <c r="H31" s="11" t="s">
        <v>9</v>
      </c>
      <c r="I31" s="12">
        <v>-1</v>
      </c>
      <c r="J31" s="11" t="s">
        <v>10</v>
      </c>
      <c r="K31" s="12">
        <v>-1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167</v>
      </c>
      <c r="C35" s="11" t="s">
        <v>168</v>
      </c>
      <c r="D35" s="11" t="s">
        <v>150</v>
      </c>
      <c r="E35" s="11" t="s">
        <v>169</v>
      </c>
      <c r="F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167</v>
      </c>
      <c r="C37" s="11" t="s">
        <v>166</v>
      </c>
      <c r="D37" s="11"/>
      <c r="E37" s="11"/>
      <c r="F37" s="11"/>
      <c r="G37" s="11"/>
      <c r="H37" s="11"/>
      <c r="I37" s="11"/>
      <c r="J37" s="11"/>
      <c r="K37" s="11"/>
      <c r="L37" s="11"/>
      <c r="M37" s="11"/>
      <c r="N37" s="11"/>
      <c r="O37" s="11"/>
    </row>
    <row r="38" spans="1:16" s="7" customFormat="1" x14ac:dyDescent="0.45">
      <c r="A38" s="11" t="s">
        <v>33</v>
      </c>
      <c r="B38" s="11" t="s">
        <v>168</v>
      </c>
      <c r="C38" s="11" t="s">
        <v>166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169</v>
      </c>
      <c r="C40" s="11" t="s">
        <v>85</v>
      </c>
      <c r="F40" s="11"/>
      <c r="G40" s="11"/>
      <c r="H40" s="11"/>
      <c r="I40" s="11"/>
      <c r="J40" s="11"/>
      <c r="K40" s="11"/>
      <c r="L40" s="11"/>
      <c r="M40" s="11"/>
      <c r="N40" s="11"/>
      <c r="O40" s="11"/>
    </row>
    <row r="41" spans="1:16" s="7" customFormat="1" x14ac:dyDescent="0.45">
      <c r="A41" s="11" t="s">
        <v>11</v>
      </c>
      <c r="B41" s="11"/>
      <c r="C41" s="11"/>
      <c r="D41" s="11"/>
      <c r="E41" s="11"/>
      <c r="F41" s="11"/>
      <c r="G41" s="11"/>
      <c r="H41" s="11"/>
      <c r="I41" s="11"/>
      <c r="J41" s="11"/>
      <c r="K41" s="11"/>
      <c r="L41" s="11"/>
      <c r="M41" s="11"/>
      <c r="N41" s="11"/>
      <c r="O41" s="11"/>
    </row>
    <row r="42" spans="1:16" s="7" customFormat="1" x14ac:dyDescent="0.45">
      <c r="A42" s="11" t="s">
        <v>33</v>
      </c>
      <c r="B42" s="11" t="s">
        <v>87</v>
      </c>
      <c r="C42" s="11"/>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167</v>
      </c>
      <c r="D60" s="11">
        <v>0</v>
      </c>
      <c r="E60" s="11" t="s">
        <v>168</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150</v>
      </c>
      <c r="D64" s="11">
        <v>0</v>
      </c>
      <c r="E64" s="11" t="s">
        <v>87</v>
      </c>
      <c r="F64" s="11">
        <v>0</v>
      </c>
      <c r="J64" s="11"/>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169</v>
      </c>
      <c r="D68" s="11">
        <v>0</v>
      </c>
      <c r="E68" s="11"/>
      <c r="F68" s="11"/>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169</v>
      </c>
      <c r="D72" s="11">
        <v>0</v>
      </c>
      <c r="E72" s="11"/>
      <c r="F72" s="11"/>
      <c r="G72" s="11"/>
      <c r="H72" s="11"/>
      <c r="I72" s="11"/>
      <c r="J72" s="11"/>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c r="F76" s="11"/>
      <c r="G76" s="11"/>
      <c r="H76" s="11"/>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167</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150</v>
      </c>
      <c r="D84" s="11">
        <v>0</v>
      </c>
      <c r="E84" s="11" t="s">
        <v>87</v>
      </c>
      <c r="F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P103"/>
  <sheetViews>
    <sheetView topLeftCell="C47" zoomScale="90" zoomScaleNormal="90" workbookViewId="0">
      <selection activeCell="K60" sqref="K60"/>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D5" s="1" t="s">
        <v>129</v>
      </c>
      <c r="E5" s="2">
        <f>1500*1500*400/(E2^3)</f>
        <v>7200000000</v>
      </c>
    </row>
    <row r="6" spans="1:16" s="7" customFormat="1" x14ac:dyDescent="0.45">
      <c r="A6" s="11" t="s">
        <v>5</v>
      </c>
      <c r="B6" s="11" t="s">
        <v>6</v>
      </c>
      <c r="C6" s="12"/>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154</v>
      </c>
      <c r="C35" s="11" t="s">
        <v>153</v>
      </c>
      <c r="D35" s="11" t="s">
        <v>150</v>
      </c>
      <c r="E35" s="11" t="s">
        <v>151</v>
      </c>
      <c r="F35" s="11" t="s">
        <v>152</v>
      </c>
      <c r="G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154</v>
      </c>
      <c r="C37" s="11" t="s">
        <v>86</v>
      </c>
      <c r="D37" s="11" t="s">
        <v>116</v>
      </c>
      <c r="E37" s="11" t="s">
        <v>155</v>
      </c>
      <c r="F37" s="11" t="s">
        <v>137</v>
      </c>
      <c r="G37" s="11" t="s">
        <v>138</v>
      </c>
      <c r="H37" s="11"/>
      <c r="I37" s="11"/>
      <c r="J37" s="11"/>
      <c r="K37" s="11"/>
      <c r="L37" s="11"/>
      <c r="M37" s="11"/>
      <c r="N37" s="11"/>
      <c r="O37" s="11"/>
    </row>
    <row r="38" spans="1:16" s="7" customFormat="1" x14ac:dyDescent="0.45">
      <c r="A38" s="11" t="s">
        <v>33</v>
      </c>
      <c r="B38" s="11" t="s">
        <v>153</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7" t="s">
        <v>33</v>
      </c>
      <c r="B41" s="11" t="s">
        <v>152</v>
      </c>
      <c r="C41" s="11" t="s">
        <v>86</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9"/>
  <sheetViews>
    <sheetView topLeftCell="A2" zoomScale="93" zoomScaleNormal="9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c r="B2" s="5" t="s">
        <v>6</v>
      </c>
      <c r="C2" s="6" t="s">
        <v>8</v>
      </c>
      <c r="E2" s="4" t="s">
        <v>27</v>
      </c>
      <c r="F2" s="5" t="s">
        <v>34</v>
      </c>
      <c r="G2" s="6" t="s">
        <v>77</v>
      </c>
      <c r="I2" s="8"/>
      <c r="J2" s="8"/>
      <c r="K2" s="8"/>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I10" s="1"/>
      <c r="L10" s="1"/>
    </row>
    <row r="11" spans="1:31" x14ac:dyDescent="0.45">
      <c r="E11" s="1" t="s">
        <v>66</v>
      </c>
      <c r="F11" s="1" t="s">
        <v>66</v>
      </c>
      <c r="G11" s="1" t="s">
        <v>66</v>
      </c>
      <c r="L11" s="1"/>
    </row>
    <row r="12" spans="1:31" x14ac:dyDescent="0.45">
      <c r="A12" t="s">
        <v>96</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8" spans="1:8" x14ac:dyDescent="0.45">
      <c r="A18" t="s">
        <v>160</v>
      </c>
      <c r="B18" t="s">
        <v>165</v>
      </c>
      <c r="C18">
        <f>PI()*550^2*2 + 2*PI()*550*20</f>
        <v>1969778.5938008002</v>
      </c>
      <c r="E18" t="s">
        <v>163</v>
      </c>
      <c r="F18">
        <f>6*PI()*35^2</f>
        <v>23090.706003884978</v>
      </c>
      <c r="G18" t="s">
        <v>164</v>
      </c>
      <c r="H18">
        <f>C18/F18</f>
        <v>85.306122448979593</v>
      </c>
    </row>
    <row r="19" spans="1:8" x14ac:dyDescent="0.45">
      <c r="B19" t="s">
        <v>161</v>
      </c>
      <c r="C19">
        <f>PI()*550^2*20</f>
        <v>19006635.554218248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1.0999999999999999E-2</v>
      </c>
      <c r="D8" s="11" t="s">
        <v>107</v>
      </c>
      <c r="E8" s="12">
        <v>0</v>
      </c>
      <c r="F8" s="11" t="s">
        <v>108</v>
      </c>
      <c r="G8" s="12">
        <v>0</v>
      </c>
      <c r="H8" s="11" t="s">
        <v>89</v>
      </c>
      <c r="I8" s="11">
        <v>0</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98</v>
      </c>
      <c r="B17" s="11" t="s">
        <v>6</v>
      </c>
      <c r="C17" s="12" t="s">
        <v>145</v>
      </c>
      <c r="D17" s="11" t="s">
        <v>7</v>
      </c>
      <c r="E17" s="11" t="s">
        <v>102</v>
      </c>
      <c r="F17" s="11" t="s">
        <v>8</v>
      </c>
      <c r="G17" s="11" t="s">
        <v>144</v>
      </c>
      <c r="H17" s="11" t="s">
        <v>9</v>
      </c>
      <c r="I17" s="11" t="s">
        <v>100</v>
      </c>
      <c r="J17" s="11" t="s">
        <v>10</v>
      </c>
      <c r="K17" s="11" t="s">
        <v>101</v>
      </c>
      <c r="L17" s="11"/>
      <c r="M17" s="11"/>
      <c r="N17" s="11"/>
      <c r="O17" s="11"/>
    </row>
    <row r="18" spans="1:15" s="7" customFormat="1" x14ac:dyDescent="0.45">
      <c r="A18" s="11" t="s">
        <v>98</v>
      </c>
      <c r="B18" s="11" t="s">
        <v>6</v>
      </c>
      <c r="C18" s="12" t="s">
        <v>149</v>
      </c>
      <c r="D18" s="11" t="s">
        <v>7</v>
      </c>
      <c r="E18" s="11" t="s">
        <v>146</v>
      </c>
      <c r="F18" s="11" t="s">
        <v>8</v>
      </c>
      <c r="G18" s="11" t="s">
        <v>147</v>
      </c>
      <c r="H18" s="11" t="s">
        <v>9</v>
      </c>
      <c r="I18" s="11" t="s">
        <v>148</v>
      </c>
      <c r="J18" s="11" t="s">
        <v>10</v>
      </c>
      <c r="K18" s="11" t="s">
        <v>101</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2019-11-21T18:35:46Z</dcterms:modified>
</cp:coreProperties>
</file>
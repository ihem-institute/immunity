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queryTables/queryTable1.xml" ContentType="application/vnd.openxmlformats-officedocument.spreadsheetml.queryTable+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lmayo\workspace\immunity\"/>
    </mc:Choice>
  </mc:AlternateContent>
  <bookViews>
    <workbookView xWindow="0" yWindow="0" windowWidth="5333" windowHeight="4583"/>
  </bookViews>
  <sheets>
    <sheet name="inicial" sheetId="1" r:id="rId1"/>
    <sheet name="pruebas" sheetId="4" r:id="rId2"/>
    <sheet name="controles" sheetId="3" r:id="rId3"/>
    <sheet name="-L-Cd" sheetId="5" r:id="rId4"/>
    <sheet name="+L-Cd" sheetId="7" r:id="rId5"/>
    <sheet name="-L+Cd" sheetId="6" r:id="rId6"/>
    <sheet name="Valores Usados" sheetId="2" r:id="rId7"/>
    <sheet name="Hoja1" sheetId="8" r:id="rId8"/>
  </sheets>
  <definedNames>
    <definedName name="inputIntrTransp3" localSheetId="7">Hoja1!$A$1:$AG$91</definedName>
  </definedNames>
  <calcPr calcId="152511"/>
</workbook>
</file>

<file path=xl/calcChain.xml><?xml version="1.0" encoding="utf-8"?>
<calcChain xmlns="http://schemas.openxmlformats.org/spreadsheetml/2006/main">
  <c r="C21" i="3" l="1"/>
  <c r="C22" i="3" l="1"/>
  <c r="H21" i="3"/>
  <c r="F21" i="3"/>
  <c r="F18" i="3" l="1"/>
  <c r="H18" i="3" l="1"/>
  <c r="A56" i="4"/>
  <c r="E11" i="4"/>
  <c r="C11" i="4"/>
  <c r="E5" i="4"/>
  <c r="C19" i="3" l="1"/>
  <c r="C18" i="3"/>
  <c r="A48" i="7" l="1"/>
  <c r="G2" i="7"/>
  <c r="A48" i="6"/>
  <c r="G2" i="6"/>
  <c r="A48" i="5"/>
  <c r="G2" i="5"/>
</calcChain>
</file>

<file path=xl/comments1.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table of rab compatibility for fusion and tethering</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8" authorId="0" shapeId="0">
      <text>
        <r>
          <rPr>
            <b/>
            <sz val="9"/>
            <color indexed="81"/>
            <rFont val="Tahoma"/>
            <family val="2"/>
          </rPr>
          <t xml:space="preserve">  :</t>
        </r>
        <r>
          <rPr>
            <sz val="9"/>
            <color indexed="81"/>
            <rFont val="Tahoma"/>
            <family val="2"/>
          </rPr>
          <t xml:space="preserve">
list of Rabs in the model.  Each Rab is a membrane domain</t>
        </r>
      </text>
    </comment>
    <comment ref="A29"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0" authorId="0" shape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1" authorId="0" shape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3" authorId="0" shapeId="0">
      <text>
        <r>
          <rPr>
            <b/>
            <sz val="9"/>
            <color indexed="81"/>
            <rFont val="Tahoma"/>
            <family val="2"/>
          </rPr>
          <t xml:space="preserve">  :</t>
        </r>
        <r>
          <rPr>
            <sz val="9"/>
            <color indexed="81"/>
            <rFont val="Tahoma"/>
            <family val="2"/>
          </rPr>
          <t xml:space="preserve">
Name of the membrane domains identified with each Rab</t>
        </r>
      </text>
    </comment>
    <comment ref="A34" authorId="0" shapeId="0">
      <text>
        <r>
          <rPr>
            <b/>
            <sz val="9"/>
            <color indexed="81"/>
            <rFont val="Tahoma"/>
            <family val="2"/>
          </rPr>
          <t xml:space="preserve">  :</t>
        </r>
        <r>
          <rPr>
            <sz val="9"/>
            <color indexed="81"/>
            <rFont val="Tahoma"/>
            <family val="2"/>
          </rPr>
          <t xml:space="preserve">
list of membrane metabolites in the model
</t>
        </r>
      </text>
    </comment>
    <comment ref="A35" authorId="0" shapeId="0">
      <text>
        <r>
          <rPr>
            <b/>
            <sz val="9"/>
            <color indexed="81"/>
            <rFont val="Tahoma"/>
            <family val="2"/>
          </rPr>
          <t xml:space="preserve">  :</t>
        </r>
        <r>
          <rPr>
            <sz val="9"/>
            <color indexed="81"/>
            <rFont val="Tahoma"/>
            <family val="2"/>
          </rPr>
          <t xml:space="preserve">
list of solube metabolites in the model
</t>
        </r>
      </text>
    </comment>
    <comment ref="A36"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3" authorId="0" shapeId="0">
      <text>
        <r>
          <rPr>
            <b/>
            <sz val="9"/>
            <color indexed="81"/>
            <rFont val="Tahoma"/>
            <family val="2"/>
          </rPr>
          <t xml:space="preserve">  :</t>
        </r>
        <r>
          <rPr>
            <sz val="9"/>
            <color indexed="81"/>
            <rFont val="Tahoma"/>
            <family val="2"/>
          </rPr>
          <t xml:space="preserve">
color code for contents</t>
        </r>
      </text>
    </comment>
    <comment ref="A55"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6"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0"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2.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shape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3.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4.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5.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6.xml><?xml version="1.0" encoding="utf-8"?>
<comments xmlns="http://schemas.openxmlformats.org/spreadsheetml/2006/main">
  <authors>
    <author xml:space="preserve">  </author>
  </authors>
  <commentList>
    <comment ref="A17" authorId="0" shapeId="0">
      <text>
        <r>
          <rPr>
            <b/>
            <sz val="9"/>
            <color indexed="81"/>
            <rFont val="Tahoma"/>
            <family val="2"/>
          </rPr>
          <t xml:space="preserve">  :</t>
        </r>
        <r>
          <rPr>
            <sz val="9"/>
            <color indexed="81"/>
            <rFont val="Tahoma"/>
            <family val="2"/>
          </rPr>
          <t xml:space="preserve">
Name of the membrane domains identified with each Rab</t>
        </r>
      </text>
    </comment>
    <comment ref="A18" authorId="0" shapeId="0">
      <text>
        <r>
          <rPr>
            <b/>
            <sz val="9"/>
            <color indexed="81"/>
            <rFont val="Tahoma"/>
            <family val="2"/>
          </rPr>
          <t xml:space="preserve">  :</t>
        </r>
        <r>
          <rPr>
            <sz val="9"/>
            <color indexed="81"/>
            <rFont val="Tahoma"/>
            <family val="2"/>
          </rPr>
          <t xml:space="preserve">
Name of the membrane domains identified with each Rab</t>
        </r>
      </text>
    </comment>
  </commentList>
</comments>
</file>

<file path=xl/comments7.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shape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nnections.xml><?xml version="1.0" encoding="utf-8"?>
<connections xmlns="http://schemas.openxmlformats.org/spreadsheetml/2006/main">
  <connection id="1" name="inputIntrTransp3" type="6" refreshedVersion="5" background="1" saveData="1">
    <textPr codePage="850" sourceFile="C:\Users\lmayo\workspace\immunity\inputIntrTransp3.csv" comma="1">
      <textFields count="32">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<sst xmlns="http://schemas.openxmlformats.org/spreadsheetml/2006/main" count="2029" uniqueCount="185">
  <si>
    <t>CELL</t>
  </si>
  <si>
    <t>cellK</t>
  </si>
  <si>
    <t>rcyl</t>
  </si>
  <si>
    <t>rEndo</t>
  </si>
  <si>
    <t>tMembrane</t>
  </si>
  <si>
    <t>initRabCell</t>
  </si>
  <si>
    <t>RabA</t>
  </si>
  <si>
    <t>RabB</t>
  </si>
  <si>
    <t>RabC</t>
  </si>
  <si>
    <t>RabD</t>
  </si>
  <si>
    <t>RabE</t>
  </si>
  <si>
    <t>null</t>
  </si>
  <si>
    <t>ENDOSOMES</t>
  </si>
  <si>
    <t>rabCompatibility</t>
  </si>
  <si>
    <t>RabARabA</t>
  </si>
  <si>
    <t>RabBRabB</t>
  </si>
  <si>
    <t>RabCRabC</t>
  </si>
  <si>
    <t>RabDRabD</t>
  </si>
  <si>
    <t>RabERabE</t>
  </si>
  <si>
    <t>RabARabB</t>
  </si>
  <si>
    <t>RabARabD</t>
  </si>
  <si>
    <t>RabCRabE</t>
  </si>
  <si>
    <t>membraneMet</t>
  </si>
  <si>
    <t>mHCI</t>
  </si>
  <si>
    <t>mHCI-pept</t>
  </si>
  <si>
    <t>p2</t>
  </si>
  <si>
    <t>solubleMet</t>
  </si>
  <si>
    <t>ova</t>
  </si>
  <si>
    <t>preP</t>
  </si>
  <si>
    <t>p1</t>
  </si>
  <si>
    <t>mvb</t>
  </si>
  <si>
    <t>rabSet</t>
  </si>
  <si>
    <t>tubuleTropism</t>
  </si>
  <si>
    <t>rabTropism</t>
  </si>
  <si>
    <t>Tf</t>
  </si>
  <si>
    <t>mtTropism</t>
  </si>
  <si>
    <t>Content</t>
  </si>
  <si>
    <t>1st Content</t>
  </si>
  <si>
    <t>value</t>
  </si>
  <si>
    <t>2nd Content</t>
  </si>
  <si>
    <t>3rd Content</t>
  </si>
  <si>
    <t>kind1</t>
  </si>
  <si>
    <t>area</t>
  </si>
  <si>
    <t>kind2</t>
  </si>
  <si>
    <t>kind3</t>
  </si>
  <si>
    <t>kind4</t>
  </si>
  <si>
    <t>kind5</t>
  </si>
  <si>
    <t>4th Content</t>
  </si>
  <si>
    <t>initOrgProp</t>
  </si>
  <si>
    <t>initRabContent</t>
  </si>
  <si>
    <t>initSolubleContent</t>
  </si>
  <si>
    <t>initMembraneContent</t>
  </si>
  <si>
    <t>INITIAL ORGANELLES</t>
  </si>
  <si>
    <t>colorRab</t>
  </si>
  <si>
    <t>colorContent</t>
  </si>
  <si>
    <t>red</t>
  </si>
  <si>
    <t>green</t>
  </si>
  <si>
    <t>blue</t>
  </si>
  <si>
    <t>solubleMarker</t>
  </si>
  <si>
    <t>kind6</t>
  </si>
  <si>
    <t>RabBRabC</t>
  </si>
  <si>
    <t>Tf uptake</t>
  </si>
  <si>
    <t>ova uptake</t>
  </si>
  <si>
    <t>RESET COLORS AND UPTAKE</t>
  </si>
  <si>
    <t>orgScale</t>
  </si>
  <si>
    <t>rabRecyProb</t>
  </si>
  <si>
    <t>pLANCL2</t>
  </si>
  <si>
    <t>ABA</t>
  </si>
  <si>
    <t>solubleCell</t>
  </si>
  <si>
    <t>timeScale</t>
  </si>
  <si>
    <t>RabARabE</t>
  </si>
  <si>
    <t>RabARabC</t>
  </si>
  <si>
    <t>RabBRabD</t>
  </si>
  <si>
    <t>RabBRabE</t>
  </si>
  <si>
    <t>RabCRabD</t>
  </si>
  <si>
    <t>RabDRabE</t>
  </si>
  <si>
    <t>vATPase</t>
  </si>
  <si>
    <t>cMHCI</t>
  </si>
  <si>
    <t>proton</t>
  </si>
  <si>
    <t>RabALevel</t>
  </si>
  <si>
    <t>RabBLevel</t>
  </si>
  <si>
    <t>RabCLevel</t>
  </si>
  <si>
    <t>RabDLevel</t>
  </si>
  <si>
    <t>RabELevel</t>
  </si>
  <si>
    <t>RabB10</t>
  </si>
  <si>
    <t>RabC10</t>
  </si>
  <si>
    <t>sph</t>
  </si>
  <si>
    <t>membraneMarker</t>
  </si>
  <si>
    <t>METABOLITES and RABS</t>
  </si>
  <si>
    <t>chol</t>
  </si>
  <si>
    <t>maxRadius</t>
  </si>
  <si>
    <t>maxAsym</t>
  </si>
  <si>
    <t>position</t>
  </si>
  <si>
    <t>membraneCell</t>
  </si>
  <si>
    <t>kind7</t>
  </si>
  <si>
    <t>freezeDry</t>
  </si>
  <si>
    <t>Reset to initial</t>
  </si>
  <si>
    <t>kineticsArea</t>
  </si>
  <si>
    <t>organelle</t>
  </si>
  <si>
    <t>cisGolgi</t>
  </si>
  <si>
    <t>transGolgi</t>
  </si>
  <si>
    <t>TGN</t>
  </si>
  <si>
    <t>ERGIC</t>
  </si>
  <si>
    <t>albumin</t>
  </si>
  <si>
    <t>RabA10</t>
  </si>
  <si>
    <t>ProC</t>
  </si>
  <si>
    <t>Rm</t>
  </si>
  <si>
    <t>Rr</t>
  </si>
  <si>
    <t>Ra</t>
  </si>
  <si>
    <t>L</t>
  </si>
  <si>
    <t>RabA07</t>
  </si>
  <si>
    <t>RabD10</t>
  </si>
  <si>
    <t>EE</t>
  </si>
  <si>
    <t>SE</t>
  </si>
  <si>
    <t>RE</t>
  </si>
  <si>
    <t>LE</t>
  </si>
  <si>
    <t>RabC05</t>
  </si>
  <si>
    <t>initPMmembraneRecycle</t>
  </si>
  <si>
    <t>initPMsolubleRecycle</t>
  </si>
  <si>
    <t>MODEL PROPERTIES</t>
  </si>
  <si>
    <t>PLASMA MEMBRANE</t>
  </si>
  <si>
    <t>uptakeRate</t>
  </si>
  <si>
    <t>mtTropismTubule</t>
  </si>
  <si>
    <t>mtTropismRest</t>
  </si>
  <si>
    <t>kindLarge</t>
  </si>
  <si>
    <t>plasmaMembraneCopasi</t>
  </si>
  <si>
    <t>endosomeCopasi</t>
  </si>
  <si>
    <t>rabCopasi</t>
  </si>
  <si>
    <t>cellArea</t>
  </si>
  <si>
    <t>cellVolume</t>
  </si>
  <si>
    <t>plasmaMembraneArea</t>
  </si>
  <si>
    <t>plasmaMembraneVolume</t>
  </si>
  <si>
    <t>plasmaMembraneProperties</t>
  </si>
  <si>
    <t>cellAgentProperties</t>
  </si>
  <si>
    <t>cellCopasi</t>
  </si>
  <si>
    <t>Gpli</t>
  </si>
  <si>
    <t>Spli</t>
  </si>
  <si>
    <t>RabA05</t>
  </si>
  <si>
    <t>RabE05</t>
  </si>
  <si>
    <t>RabD01</t>
  </si>
  <si>
    <t>RabBRabA</t>
  </si>
  <si>
    <t>RabCRabB</t>
  </si>
  <si>
    <t>RabDRabC</t>
  </si>
  <si>
    <t>RabERabD</t>
  </si>
  <si>
    <t>medialGolgi</t>
  </si>
  <si>
    <t>ER</t>
  </si>
  <si>
    <t>ERGICGollgi</t>
  </si>
  <si>
    <t>medialGollgi</t>
  </si>
  <si>
    <t>transGollgi</t>
  </si>
  <si>
    <t>ERGollgi</t>
  </si>
  <si>
    <t>enzyme</t>
  </si>
  <si>
    <t>enzymeG55</t>
  </si>
  <si>
    <t>enzymeGo3</t>
  </si>
  <si>
    <t>Go3</t>
  </si>
  <si>
    <t>G55</t>
  </si>
  <si>
    <t>RabB05</t>
  </si>
  <si>
    <t>LuiniGolgiSinGo3.cp</t>
  </si>
  <si>
    <t>ERGolgi</t>
  </si>
  <si>
    <t>membraneFlux</t>
  </si>
  <si>
    <t>TGolgiN</t>
  </si>
  <si>
    <t>cisternLuini</t>
  </si>
  <si>
    <t xml:space="preserve">volume </t>
  </si>
  <si>
    <t>maturationTrigger</t>
  </si>
  <si>
    <t>area vesicle</t>
  </si>
  <si>
    <t>nro vesicles/cisteren</t>
  </si>
  <si>
    <t>area citern</t>
  </si>
  <si>
    <t>RabE10</t>
  </si>
  <si>
    <t>tub</t>
  </si>
  <si>
    <t>500 nm radius</t>
  </si>
  <si>
    <t>250 nm radius</t>
  </si>
  <si>
    <t>LuiniGolgiSinGo3.</t>
  </si>
  <si>
    <t>cp</t>
  </si>
  <si>
    <t>ERGolgiIC</t>
  </si>
  <si>
    <t>memL</t>
  </si>
  <si>
    <t>memS</t>
  </si>
  <si>
    <t>memERGIC</t>
  </si>
  <si>
    <t>memGolgiMedial</t>
  </si>
  <si>
    <t>memTGN</t>
  </si>
  <si>
    <t>memLS</t>
  </si>
  <si>
    <t>memTub</t>
  </si>
  <si>
    <t>solL</t>
  </si>
  <si>
    <t>solS</t>
  </si>
  <si>
    <t>memMedial</t>
  </si>
  <si>
    <t>memCis</t>
  </si>
  <si>
    <t>memTrans</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</si>
</sst>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rgb="FF2F2F2F"/>
      <name val="Courier New"/>
      <family val="3"/>
    </font>
    <font>
      <sz val="9"/>
      <color indexed="81"/>
      <name val="Tahoma"/>
      <family val="2"/>
    </font>
    <font>
      <b/>
      <sz val="9"/>
      <color indexed="81"/>
      <name val="Tahoma"/>
      <family val="2"/>
    </font>
    <font>
      <sz val="11"/>
      <color indexed="81"/>
      <name val="Arial"/>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92D050"/>
        <bgColor indexed="64"/>
      </patternFill>
    </fill>
    <fill>
      <patternFill patternType="solid">
        <fgColor rgb="FF00B0F0"/>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6">
    <xf numFmtId="0" fontId="0" fillId="0" borderId="0" xfId="0"/>
    <xf numFmtId="2" fontId="0" fillId="0" borderId="0" xfId="0" applyNumberFormat="1"/>
    <xf numFmtId="0" fontId="0" fillId="0" borderId="0" xfId="0" applyNumberFormat="1"/>
    <xf numFmtId="0" fontId="18" fillId="0" borderId="0" xfId="0" applyFont="1"/>
    <xf numFmtId="0" fontId="0" fillId="33" borderId="0" xfId="0" applyFill="1"/>
    <xf numFmtId="0" fontId="0" fillId="34" borderId="0" xfId="0" applyFill="1"/>
    <xf numFmtId="0" fontId="0" fillId="35" borderId="0" xfId="0" applyFill="1"/>
    <xf numFmtId="0" fontId="0" fillId="0" borderId="0" xfId="0" applyFill="1"/>
    <xf numFmtId="0" fontId="0" fillId="36" borderId="0" xfId="0" applyFill="1"/>
    <xf numFmtId="2" fontId="0" fillId="36" borderId="0" xfId="0" applyNumberFormat="1" applyFill="1"/>
    <xf numFmtId="0" fontId="0" fillId="36" borderId="0" xfId="0" applyNumberFormat="1" applyFill="1"/>
    <xf numFmtId="2" fontId="0" fillId="0" borderId="0" xfId="0" applyNumberFormat="1" applyFill="1"/>
    <xf numFmtId="0" fontId="0" fillId="0" borderId="0" xfId="0" applyNumberFormat="1" applyFill="1"/>
    <xf numFmtId="2" fontId="16" fillId="0" borderId="0" xfId="0" applyNumberFormat="1" applyFont="1" applyFill="1"/>
    <xf numFmtId="2" fontId="0" fillId="0" borderId="0" xfId="0" applyNumberFormat="1" applyFont="1" applyFill="1"/>
    <xf numFmtId="2" fontId="16" fillId="0" borderId="0" xfId="0" applyNumberFormat="1" applyFont="1"/>
  </cellXfs>
  <cellStyles count="42">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queryTables/queryTable1.xml><?xml version="1.0" encoding="utf-8"?>
<queryTable xmlns="http://schemas.openxmlformats.org/spreadsheetml/2006/main" name="inputIntrTransp3" connectionId="1" autoFormatId="16" applyNumberFormats="0" applyBorderFormats="0" applyFontFormats="0" applyPatternFormats="0" applyAlignmentFormats="0" applyWidthHeightFormats="0"/>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queryTable" Target="../queryTables/queryTable1.xml"/><Relationship Id="rId1" Type="http://schemas.openxmlformats.org/officeDocument/2006/relationships/vmlDrawing" Target="../drawings/vmlDrawing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AF102"/>
  <sheetViews>
    <sheetView tabSelected="1" topLeftCell="A16" zoomScale="90" zoomScaleNormal="90" workbookViewId="0">
      <selection sqref="A1:AF90"/>
    </sheetView>
  </sheetViews>
  <sheetFormatPr baseColWidth="10" defaultRowHeight="14.25" x14ac:dyDescent="0.45"/>
  <cols>
    <col min="1" max="1" width="11.46484375" style="1"/>
    <col min="2" max="2" width="23.796875" style="1" customWidth="1"/>
    <col min="3" max="3" width="11.46484375" style="2"/>
    <col min="4" max="4" width="11.46484375" style="1"/>
    <col min="5" max="5" width="13.46484375" style="1" customWidth="1"/>
    <col min="6" max="6" width="13.796875" style="1" customWidth="1"/>
    <col min="7" max="15" width="11.46484375" style="1"/>
  </cols>
  <sheetData>
    <row r="1" spans="1:32" s="7" customFormat="1" x14ac:dyDescent="0.45">
      <c r="A1" t="s">
        <v>119</v>
      </c>
      <c r="B1"/>
      <c r="C1"/>
      <c r="D1"/>
      <c r="E1"/>
      <c r="F1"/>
      <c r="G1"/>
      <c r="H1"/>
      <c r="I1"/>
      <c r="J1"/>
      <c r="K1"/>
      <c r="L1"/>
      <c r="M1"/>
      <c r="N1"/>
      <c r="O1"/>
      <c r="P1"/>
      <c r="Q1"/>
      <c r="R1"/>
      <c r="S1"/>
      <c r="T1"/>
      <c r="U1"/>
      <c r="V1"/>
      <c r="W1"/>
      <c r="X1"/>
      <c r="Y1"/>
      <c r="Z1"/>
      <c r="AA1"/>
      <c r="AB1"/>
      <c r="AC1"/>
      <c r="AD1"/>
      <c r="AE1"/>
      <c r="AF1"/>
    </row>
    <row r="2" spans="1:32" s="7" customFormat="1" x14ac:dyDescent="0.45">
      <c r="A2" t="s">
        <v>1</v>
      </c>
      <c r="B2" t="s">
        <v>2</v>
      </c>
      <c r="C2">
        <v>35</v>
      </c>
      <c r="D2" t="s">
        <v>64</v>
      </c>
      <c r="E2">
        <v>0.5</v>
      </c>
      <c r="F2" t="s">
        <v>69</v>
      </c>
      <c r="G2">
        <v>0.5</v>
      </c>
      <c r="H2" t="s">
        <v>95</v>
      </c>
      <c r="I2">
        <v>1</v>
      </c>
      <c r="J2"/>
      <c r="K2"/>
      <c r="L2"/>
      <c r="M2"/>
      <c r="N2"/>
      <c r="O2"/>
      <c r="P2"/>
      <c r="Q2"/>
      <c r="R2"/>
      <c r="S2"/>
      <c r="T2"/>
      <c r="U2"/>
      <c r="V2"/>
      <c r="W2"/>
      <c r="X2"/>
      <c r="Y2"/>
      <c r="Z2"/>
      <c r="AA2"/>
      <c r="AB2"/>
      <c r="AC2"/>
      <c r="AD2"/>
      <c r="AE2"/>
      <c r="AF2"/>
    </row>
    <row r="3" spans="1:32" s="7" customFormat="1" x14ac:dyDescent="0.45">
      <c r="A3" t="s">
        <v>1</v>
      </c>
      <c r="B3" t="s">
        <v>97</v>
      </c>
      <c r="C3">
        <v>1</v>
      </c>
      <c r="D3" t="s">
        <v>158</v>
      </c>
      <c r="E3">
        <v>1</v>
      </c>
      <c r="F3" t="s">
        <v>162</v>
      </c>
      <c r="G3">
        <v>0.5</v>
      </c>
      <c r="H3"/>
      <c r="I3"/>
      <c r="J3"/>
      <c r="K3"/>
      <c r="L3"/>
      <c r="M3"/>
      <c r="N3"/>
      <c r="O3"/>
      <c r="P3"/>
      <c r="Q3"/>
      <c r="R3"/>
      <c r="S3"/>
      <c r="T3"/>
      <c r="U3"/>
      <c r="V3"/>
      <c r="W3"/>
      <c r="X3"/>
      <c r="Y3"/>
      <c r="Z3"/>
      <c r="AA3"/>
      <c r="AB3"/>
      <c r="AC3"/>
      <c r="AD3"/>
      <c r="AE3"/>
      <c r="AF3"/>
    </row>
    <row r="4" spans="1:32" s="7" customFormat="1" x14ac:dyDescent="0.45">
      <c r="A4" t="s">
        <v>0</v>
      </c>
      <c r="B4"/>
      <c r="C4"/>
      <c r="D4"/>
      <c r="E4"/>
      <c r="F4"/>
      <c r="G4"/>
      <c r="H4"/>
      <c r="I4"/>
      <c r="J4"/>
      <c r="K4"/>
      <c r="L4"/>
      <c r="M4"/>
      <c r="N4"/>
      <c r="O4"/>
      <c r="P4"/>
      <c r="Q4"/>
      <c r="R4"/>
      <c r="S4"/>
      <c r="T4"/>
      <c r="U4"/>
      <c r="V4"/>
      <c r="W4"/>
      <c r="X4"/>
      <c r="Y4"/>
      <c r="Z4"/>
      <c r="AA4"/>
      <c r="AB4"/>
      <c r="AC4"/>
      <c r="AD4"/>
      <c r="AE4"/>
      <c r="AF4"/>
    </row>
    <row r="5" spans="1:32" x14ac:dyDescent="0.45">
      <c r="A5" t="s">
        <v>133</v>
      </c>
      <c r="B5" t="s">
        <v>128</v>
      </c>
      <c r="C5">
        <v>9000000</v>
      </c>
      <c r="D5" t="s">
        <v>129</v>
      </c>
      <c r="E5">
        <v>7200000000</v>
      </c>
      <c r="F5"/>
      <c r="G5"/>
      <c r="H5"/>
      <c r="I5"/>
      <c r="J5"/>
      <c r="K5"/>
      <c r="L5"/>
      <c r="M5"/>
      <c r="N5"/>
      <c r="O5"/>
    </row>
    <row r="6" spans="1:32" s="7" customFormat="1" x14ac:dyDescent="0.45">
      <c r="A6" t="s">
        <v>5</v>
      </c>
      <c r="B6" t="s">
        <v>6</v>
      </c>
      <c r="C6">
        <v>1</v>
      </c>
      <c r="D6" t="s">
        <v>7</v>
      </c>
      <c r="E6">
        <v>1</v>
      </c>
      <c r="F6" t="s">
        <v>8</v>
      </c>
      <c r="G6">
        <v>1</v>
      </c>
      <c r="H6" t="s">
        <v>9</v>
      </c>
      <c r="I6">
        <v>1</v>
      </c>
      <c r="J6" t="s">
        <v>10</v>
      </c>
      <c r="K6">
        <v>1</v>
      </c>
      <c r="L6"/>
      <c r="M6"/>
      <c r="N6"/>
      <c r="O6"/>
      <c r="P6"/>
      <c r="Q6"/>
      <c r="R6"/>
      <c r="S6"/>
      <c r="T6"/>
      <c r="U6"/>
      <c r="V6"/>
      <c r="W6"/>
      <c r="X6"/>
      <c r="Y6"/>
      <c r="Z6"/>
      <c r="AA6"/>
      <c r="AB6"/>
      <c r="AC6"/>
      <c r="AD6"/>
      <c r="AE6"/>
      <c r="AF6"/>
    </row>
    <row r="7" spans="1:32" s="7" customFormat="1" x14ac:dyDescent="0.45">
      <c r="A7" t="s">
        <v>68</v>
      </c>
      <c r="B7"/>
      <c r="C7"/>
      <c r="D7"/>
      <c r="E7"/>
      <c r="F7"/>
      <c r="G7"/>
      <c r="H7"/>
      <c r="I7"/>
      <c r="J7"/>
      <c r="K7"/>
      <c r="L7"/>
      <c r="M7"/>
      <c r="N7"/>
      <c r="O7"/>
      <c r="P7"/>
      <c r="Q7"/>
      <c r="R7"/>
      <c r="S7"/>
      <c r="T7"/>
      <c r="U7"/>
      <c r="V7"/>
      <c r="W7"/>
      <c r="X7"/>
      <c r="Y7"/>
      <c r="Z7"/>
      <c r="AA7"/>
      <c r="AB7"/>
      <c r="AC7"/>
      <c r="AD7"/>
      <c r="AE7"/>
      <c r="AF7"/>
    </row>
    <row r="8" spans="1:32" s="7" customFormat="1" x14ac:dyDescent="0.45">
      <c r="A8" t="s">
        <v>93</v>
      </c>
      <c r="B8"/>
      <c r="C8"/>
      <c r="D8"/>
      <c r="E8"/>
      <c r="F8"/>
      <c r="G8"/>
      <c r="H8"/>
      <c r="I8"/>
      <c r="J8"/>
      <c r="K8"/>
      <c r="L8"/>
      <c r="M8"/>
      <c r="N8"/>
      <c r="O8"/>
      <c r="P8"/>
      <c r="Q8"/>
      <c r="R8"/>
      <c r="S8"/>
      <c r="T8"/>
      <c r="U8"/>
      <c r="V8"/>
      <c r="W8"/>
      <c r="X8"/>
      <c r="Y8"/>
      <c r="Z8"/>
      <c r="AA8"/>
      <c r="AB8"/>
      <c r="AC8"/>
      <c r="AD8"/>
      <c r="AE8"/>
      <c r="AF8"/>
    </row>
    <row r="9" spans="1:32" s="7" customFormat="1" x14ac:dyDescent="0.45">
      <c r="A9" t="s">
        <v>134</v>
      </c>
      <c r="B9" t="s">
        <v>11</v>
      </c>
      <c r="C9"/>
      <c r="D9"/>
      <c r="E9"/>
      <c r="F9"/>
      <c r="G9"/>
      <c r="H9"/>
      <c r="I9"/>
      <c r="J9"/>
      <c r="K9"/>
      <c r="L9"/>
      <c r="M9"/>
      <c r="N9"/>
      <c r="O9"/>
      <c r="P9"/>
      <c r="Q9"/>
      <c r="R9"/>
      <c r="S9"/>
      <c r="T9"/>
      <c r="U9"/>
      <c r="V9"/>
      <c r="W9"/>
      <c r="X9"/>
      <c r="Y9"/>
      <c r="Z9"/>
      <c r="AA9"/>
      <c r="AB9"/>
      <c r="AC9"/>
      <c r="AD9"/>
      <c r="AE9"/>
      <c r="AF9"/>
    </row>
    <row r="10" spans="1:32" x14ac:dyDescent="0.45">
      <c r="A10" t="s">
        <v>120</v>
      </c>
      <c r="B10"/>
      <c r="C10"/>
      <c r="D10"/>
      <c r="E10"/>
      <c r="F10"/>
      <c r="G10"/>
      <c r="H10"/>
      <c r="I10"/>
      <c r="J10"/>
      <c r="K10"/>
      <c r="L10"/>
      <c r="M10"/>
      <c r="N10"/>
      <c r="O10"/>
    </row>
    <row r="11" spans="1:32" x14ac:dyDescent="0.45">
      <c r="A11" t="s">
        <v>132</v>
      </c>
      <c r="B11" t="s">
        <v>130</v>
      </c>
      <c r="C11">
        <v>2400000</v>
      </c>
      <c r="D11" t="s">
        <v>131</v>
      </c>
      <c r="E11">
        <v>4800000000</v>
      </c>
      <c r="F11"/>
      <c r="G11"/>
      <c r="H11"/>
      <c r="I11"/>
      <c r="J11"/>
      <c r="K11"/>
      <c r="L11"/>
      <c r="M11"/>
      <c r="N11"/>
      <c r="O11"/>
    </row>
    <row r="12" spans="1:32" s="7" customFormat="1" x14ac:dyDescent="0.45">
      <c r="A12" t="s">
        <v>117</v>
      </c>
      <c r="B12" t="s">
        <v>150</v>
      </c>
      <c r="C12">
        <v>0</v>
      </c>
      <c r="D12" t="s">
        <v>151</v>
      </c>
      <c r="E12">
        <v>0</v>
      </c>
      <c r="F12" t="s">
        <v>153</v>
      </c>
      <c r="G12">
        <v>0</v>
      </c>
      <c r="H12" t="s">
        <v>135</v>
      </c>
      <c r="I12">
        <v>0</v>
      </c>
      <c r="J12" t="s">
        <v>136</v>
      </c>
      <c r="K12">
        <v>0</v>
      </c>
      <c r="L12" t="s">
        <v>154</v>
      </c>
      <c r="M12">
        <v>0</v>
      </c>
      <c r="N12"/>
      <c r="O12"/>
      <c r="P12"/>
      <c r="Q12"/>
      <c r="R12"/>
      <c r="S12"/>
      <c r="T12"/>
      <c r="U12"/>
      <c r="V12"/>
      <c r="W12"/>
      <c r="X12"/>
      <c r="Y12"/>
      <c r="Z12"/>
      <c r="AA12"/>
      <c r="AB12"/>
      <c r="AC12"/>
      <c r="AD12"/>
      <c r="AE12"/>
      <c r="AF12"/>
    </row>
    <row r="13" spans="1:32" s="7" customFormat="1" x14ac:dyDescent="0.45">
      <c r="A13" t="s">
        <v>118</v>
      </c>
      <c r="B13"/>
      <c r="C13"/>
      <c r="D13"/>
      <c r="E13"/>
      <c r="F13"/>
      <c r="G13"/>
      <c r="H13"/>
      <c r="I13"/>
      <c r="J13"/>
      <c r="K13"/>
      <c r="L13"/>
      <c r="M13"/>
      <c r="N13"/>
      <c r="O13"/>
      <c r="P13"/>
      <c r="Q13"/>
      <c r="R13"/>
      <c r="S13"/>
      <c r="T13"/>
      <c r="U13"/>
      <c r="V13"/>
      <c r="W13"/>
      <c r="X13"/>
      <c r="Y13"/>
      <c r="Z13"/>
      <c r="AA13"/>
      <c r="AB13"/>
      <c r="AC13"/>
      <c r="AD13"/>
      <c r="AE13"/>
      <c r="AF13"/>
    </row>
    <row r="14" spans="1:32" s="7" customFormat="1" x14ac:dyDescent="0.45">
      <c r="A14" t="s">
        <v>121</v>
      </c>
      <c r="B14" t="s">
        <v>150</v>
      </c>
      <c r="C14">
        <v>0.5</v>
      </c>
      <c r="D14" t="s">
        <v>151</v>
      </c>
      <c r="E14">
        <v>0.5</v>
      </c>
      <c r="F14" t="s">
        <v>153</v>
      </c>
      <c r="G14">
        <v>0.5</v>
      </c>
      <c r="H14" t="s">
        <v>154</v>
      </c>
      <c r="I14">
        <v>0.5</v>
      </c>
      <c r="J14"/>
      <c r="K14"/>
      <c r="L14"/>
      <c r="M14"/>
      <c r="N14"/>
      <c r="O14"/>
      <c r="P14"/>
      <c r="Q14"/>
      <c r="R14"/>
      <c r="S14"/>
      <c r="T14"/>
      <c r="U14"/>
      <c r="V14"/>
      <c r="W14"/>
      <c r="X14"/>
      <c r="Y14"/>
      <c r="Z14"/>
      <c r="AA14"/>
      <c r="AB14"/>
      <c r="AC14"/>
      <c r="AD14"/>
      <c r="AE14"/>
      <c r="AF14"/>
    </row>
    <row r="15" spans="1:32" s="7" customFormat="1" x14ac:dyDescent="0.45">
      <c r="A15" t="s">
        <v>125</v>
      </c>
      <c r="B15" t="s">
        <v>11</v>
      </c>
      <c r="C15"/>
      <c r="D15"/>
      <c r="E15"/>
      <c r="F15"/>
      <c r="G15"/>
      <c r="H15"/>
      <c r="I15"/>
      <c r="J15"/>
      <c r="K15"/>
      <c r="L15"/>
      <c r="M15"/>
      <c r="N15"/>
      <c r="O15"/>
      <c r="P15"/>
      <c r="Q15"/>
      <c r="R15"/>
      <c r="S15"/>
      <c r="T15"/>
      <c r="U15"/>
      <c r="V15"/>
      <c r="W15"/>
      <c r="X15"/>
      <c r="Y15"/>
      <c r="Z15"/>
      <c r="AA15"/>
      <c r="AB15"/>
      <c r="AC15"/>
      <c r="AD15"/>
      <c r="AE15"/>
      <c r="AF15"/>
    </row>
    <row r="16" spans="1:32" s="7" customFormat="1" x14ac:dyDescent="0.45">
      <c r="A16" t="s">
        <v>11</v>
      </c>
      <c r="B16"/>
      <c r="C16"/>
      <c r="D16"/>
      <c r="E16"/>
      <c r="F16"/>
      <c r="G16"/>
      <c r="H16"/>
      <c r="I16"/>
      <c r="J16"/>
      <c r="K16"/>
      <c r="L16"/>
      <c r="M16"/>
      <c r="N16"/>
      <c r="O16"/>
      <c r="P16"/>
      <c r="Q16"/>
      <c r="R16"/>
      <c r="S16"/>
      <c r="T16"/>
      <c r="U16"/>
      <c r="V16"/>
      <c r="W16"/>
      <c r="X16"/>
      <c r="Y16"/>
      <c r="Z16"/>
      <c r="AA16"/>
      <c r="AB16"/>
      <c r="AC16"/>
      <c r="AD16"/>
      <c r="AE16"/>
      <c r="AF16"/>
    </row>
    <row r="17" spans="1:32" s="7" customFormat="1" x14ac:dyDescent="0.45">
      <c r="A17" t="s">
        <v>12</v>
      </c>
      <c r="B17"/>
      <c r="C17"/>
      <c r="D17"/>
      <c r="E17"/>
      <c r="F17"/>
      <c r="G17"/>
      <c r="H17"/>
      <c r="I17"/>
      <c r="J17"/>
      <c r="K17"/>
      <c r="L17"/>
      <c r="M17"/>
      <c r="N17"/>
      <c r="O17"/>
      <c r="P17"/>
      <c r="Q17"/>
      <c r="R17"/>
      <c r="S17"/>
      <c r="T17"/>
      <c r="U17"/>
      <c r="V17"/>
      <c r="W17"/>
      <c r="X17"/>
      <c r="Y17"/>
      <c r="Z17"/>
      <c r="AA17"/>
      <c r="AB17"/>
      <c r="AC17"/>
      <c r="AD17"/>
      <c r="AE17"/>
      <c r="AF17"/>
    </row>
    <row r="18" spans="1:32" x14ac:dyDescent="0.45">
      <c r="A18" t="s">
        <v>126</v>
      </c>
      <c r="B18" t="s">
        <v>156</v>
      </c>
      <c r="C18"/>
      <c r="D18"/>
      <c r="E18"/>
      <c r="F18"/>
      <c r="G18"/>
      <c r="H18"/>
      <c r="I18"/>
      <c r="J18"/>
      <c r="K18"/>
      <c r="L18"/>
      <c r="M18"/>
      <c r="N18"/>
      <c r="O18"/>
    </row>
    <row r="19" spans="1:32" s="7" customFormat="1" x14ac:dyDescent="0.45">
      <c r="A19" t="s">
        <v>127</v>
      </c>
      <c r="B19" t="s">
        <v>11</v>
      </c>
      <c r="C19"/>
      <c r="D19"/>
      <c r="E19"/>
      <c r="F19"/>
      <c r="G19"/>
      <c r="H19"/>
      <c r="I19"/>
      <c r="J19"/>
      <c r="K19"/>
      <c r="L19"/>
      <c r="M19"/>
      <c r="N19"/>
      <c r="O19"/>
      <c r="P19"/>
      <c r="Q19"/>
      <c r="R19"/>
      <c r="S19"/>
      <c r="T19"/>
      <c r="U19"/>
      <c r="V19"/>
      <c r="W19"/>
      <c r="X19"/>
      <c r="Y19"/>
      <c r="Z19"/>
      <c r="AA19"/>
      <c r="AB19"/>
      <c r="AC19"/>
      <c r="AD19"/>
      <c r="AE19"/>
      <c r="AF19"/>
    </row>
    <row r="20" spans="1:32" s="7" customFormat="1" x14ac:dyDescent="0.45">
      <c r="A20" t="s">
        <v>13</v>
      </c>
      <c r="B20" t="s">
        <v>14</v>
      </c>
      <c r="C20">
        <v>0</v>
      </c>
      <c r="D20" t="s">
        <v>140</v>
      </c>
      <c r="E20">
        <v>0</v>
      </c>
      <c r="F20"/>
      <c r="G20"/>
      <c r="H20"/>
      <c r="I20"/>
      <c r="J20"/>
      <c r="K20"/>
      <c r="L20"/>
      <c r="M20"/>
      <c r="N20"/>
      <c r="O20"/>
      <c r="P20"/>
      <c r="Q20"/>
      <c r="R20"/>
      <c r="S20"/>
      <c r="T20"/>
      <c r="U20"/>
      <c r="V20"/>
      <c r="W20"/>
      <c r="X20"/>
      <c r="Y20"/>
      <c r="Z20"/>
      <c r="AA20"/>
      <c r="AB20"/>
      <c r="AC20"/>
      <c r="AD20"/>
      <c r="AE20"/>
      <c r="AF20"/>
    </row>
    <row r="21" spans="1:32" s="7" customFormat="1" x14ac:dyDescent="0.45">
      <c r="A21" t="s">
        <v>13</v>
      </c>
      <c r="B21" t="s">
        <v>19</v>
      </c>
      <c r="C21">
        <v>1</v>
      </c>
      <c r="D21" t="s">
        <v>15</v>
      </c>
      <c r="E21">
        <v>0</v>
      </c>
      <c r="F21" t="s">
        <v>141</v>
      </c>
      <c r="G21">
        <v>0</v>
      </c>
      <c r="H21"/>
      <c r="I21"/>
      <c r="J21"/>
      <c r="K21"/>
      <c r="L21"/>
      <c r="M21"/>
      <c r="N21"/>
      <c r="O21"/>
      <c r="P21"/>
      <c r="Q21"/>
      <c r="R21"/>
      <c r="S21"/>
      <c r="T21"/>
      <c r="U21"/>
      <c r="V21"/>
      <c r="W21"/>
      <c r="X21"/>
      <c r="Y21"/>
      <c r="Z21"/>
      <c r="AA21"/>
      <c r="AB21"/>
      <c r="AC21"/>
      <c r="AD21"/>
      <c r="AE21"/>
      <c r="AF21"/>
    </row>
    <row r="22" spans="1:32" s="7" customFormat="1" x14ac:dyDescent="0.45">
      <c r="A22" t="s">
        <v>13</v>
      </c>
      <c r="B22" t="s">
        <v>71</v>
      </c>
      <c r="C22">
        <v>0</v>
      </c>
      <c r="D22" t="s">
        <v>60</v>
      </c>
      <c r="E22">
        <v>1</v>
      </c>
      <c r="F22" t="s">
        <v>16</v>
      </c>
      <c r="G22">
        <v>0</v>
      </c>
      <c r="H22" t="s">
        <v>142</v>
      </c>
      <c r="I22">
        <v>0</v>
      </c>
      <c r="J22"/>
      <c r="K22"/>
      <c r="L22"/>
      <c r="M22"/>
      <c r="N22"/>
      <c r="O22"/>
      <c r="P22"/>
      <c r="Q22"/>
      <c r="R22"/>
      <c r="S22"/>
      <c r="T22"/>
      <c r="U22"/>
      <c r="V22"/>
      <c r="W22"/>
      <c r="X22"/>
      <c r="Y22"/>
      <c r="Z22"/>
      <c r="AA22"/>
      <c r="AB22"/>
      <c r="AC22"/>
      <c r="AD22"/>
      <c r="AE22"/>
      <c r="AF22"/>
    </row>
    <row r="23" spans="1:32" s="7" customFormat="1" x14ac:dyDescent="0.45">
      <c r="A23" t="s">
        <v>13</v>
      </c>
      <c r="B23" t="s">
        <v>20</v>
      </c>
      <c r="C23">
        <v>0</v>
      </c>
      <c r="D23" t="s">
        <v>72</v>
      </c>
      <c r="E23">
        <v>0</v>
      </c>
      <c r="F23" t="s">
        <v>74</v>
      </c>
      <c r="G23">
        <v>1</v>
      </c>
      <c r="H23" t="s">
        <v>17</v>
      </c>
      <c r="I23">
        <v>0</v>
      </c>
      <c r="J23" t="s">
        <v>143</v>
      </c>
      <c r="K23">
        <v>0</v>
      </c>
      <c r="L23"/>
      <c r="M23"/>
      <c r="N23"/>
      <c r="O23"/>
      <c r="P23"/>
      <c r="Q23"/>
      <c r="R23"/>
      <c r="S23"/>
      <c r="T23"/>
      <c r="U23"/>
      <c r="V23"/>
      <c r="W23"/>
      <c r="X23"/>
      <c r="Y23"/>
      <c r="Z23"/>
      <c r="AA23"/>
      <c r="AB23"/>
      <c r="AC23"/>
      <c r="AD23"/>
      <c r="AE23"/>
      <c r="AF23"/>
    </row>
    <row r="24" spans="1:32" s="7" customFormat="1" x14ac:dyDescent="0.45">
      <c r="A24" t="s">
        <v>13</v>
      </c>
      <c r="B24" t="s">
        <v>70</v>
      </c>
      <c r="C24">
        <v>0</v>
      </c>
      <c r="D24" t="s">
        <v>73</v>
      </c>
      <c r="E24">
        <v>0</v>
      </c>
      <c r="F24" t="s">
        <v>21</v>
      </c>
      <c r="G24">
        <v>0</v>
      </c>
      <c r="H24" t="s">
        <v>75</v>
      </c>
      <c r="I24">
        <v>1</v>
      </c>
      <c r="J24" t="s">
        <v>18</v>
      </c>
      <c r="K24">
        <v>0</v>
      </c>
      <c r="L24"/>
      <c r="M24"/>
      <c r="N24"/>
      <c r="O24"/>
      <c r="P24"/>
      <c r="Q24"/>
      <c r="R24"/>
      <c r="S24"/>
      <c r="T24"/>
      <c r="U24"/>
      <c r="V24"/>
      <c r="W24"/>
      <c r="X24"/>
      <c r="Y24"/>
      <c r="Z24"/>
      <c r="AA24"/>
      <c r="AB24"/>
      <c r="AC24"/>
      <c r="AD24"/>
      <c r="AE24"/>
      <c r="AF24"/>
    </row>
    <row r="25" spans="1:32" s="7" customFormat="1" x14ac:dyDescent="0.45">
      <c r="A25" t="s">
        <v>11</v>
      </c>
      <c r="B25"/>
      <c r="C25"/>
      <c r="D25"/>
      <c r="E25"/>
      <c r="F25"/>
      <c r="G25"/>
      <c r="H25"/>
      <c r="I25"/>
      <c r="J25"/>
      <c r="K25"/>
      <c r="L25"/>
      <c r="M25"/>
      <c r="N25"/>
      <c r="O25"/>
      <c r="P25"/>
      <c r="Q25"/>
      <c r="R25"/>
      <c r="S25"/>
      <c r="T25"/>
      <c r="U25"/>
      <c r="V25"/>
      <c r="W25"/>
      <c r="X25"/>
      <c r="Y25"/>
      <c r="Z25"/>
      <c r="AA25"/>
      <c r="AB25"/>
      <c r="AC25"/>
      <c r="AD25"/>
      <c r="AE25"/>
      <c r="AF25"/>
    </row>
    <row r="26" spans="1:32" x14ac:dyDescent="0.45">
      <c r="A26" t="s">
        <v>11</v>
      </c>
      <c r="B26"/>
      <c r="C26"/>
      <c r="D26"/>
      <c r="E26"/>
      <c r="F26"/>
      <c r="G26"/>
      <c r="H26"/>
      <c r="I26"/>
      <c r="J26"/>
      <c r="K26"/>
      <c r="L26"/>
      <c r="M26"/>
      <c r="N26"/>
      <c r="O26"/>
    </row>
    <row r="27" spans="1:32" s="7" customFormat="1" x14ac:dyDescent="0.45">
      <c r="A27" t="s">
        <v>11</v>
      </c>
      <c r="B27"/>
      <c r="C27"/>
      <c r="D27"/>
      <c r="E27"/>
      <c r="F27"/>
      <c r="G27"/>
      <c r="H27"/>
      <c r="I27"/>
      <c r="J27"/>
      <c r="K27"/>
      <c r="L27"/>
      <c r="M27"/>
      <c r="N27"/>
      <c r="O27"/>
      <c r="P27"/>
      <c r="Q27"/>
      <c r="R27"/>
      <c r="S27"/>
      <c r="T27"/>
      <c r="U27"/>
      <c r="V27"/>
      <c r="W27"/>
      <c r="X27"/>
      <c r="Y27"/>
      <c r="Z27"/>
      <c r="AA27"/>
      <c r="AB27"/>
      <c r="AC27"/>
      <c r="AD27"/>
      <c r="AE27"/>
      <c r="AF27"/>
    </row>
    <row r="28" spans="1:32" s="7" customFormat="1" x14ac:dyDescent="0.45">
      <c r="A28" t="s">
        <v>88</v>
      </c>
      <c r="B28"/>
      <c r="C28"/>
      <c r="D28"/>
      <c r="E28"/>
      <c r="F28"/>
      <c r="G28"/>
      <c r="H28"/>
      <c r="I28"/>
      <c r="J28"/>
      <c r="K28"/>
      <c r="L28"/>
      <c r="M28"/>
      <c r="N28"/>
      <c r="O28"/>
      <c r="P28"/>
      <c r="Q28"/>
      <c r="R28"/>
      <c r="S28"/>
      <c r="T28"/>
      <c r="U28"/>
      <c r="V28"/>
      <c r="W28"/>
      <c r="X28"/>
      <c r="Y28"/>
      <c r="Z28"/>
      <c r="AA28"/>
      <c r="AB28"/>
      <c r="AC28"/>
      <c r="AD28"/>
      <c r="AE28"/>
      <c r="AF28"/>
    </row>
    <row r="29" spans="1:32" s="7" customFormat="1" x14ac:dyDescent="0.45">
      <c r="A29" t="s">
        <v>31</v>
      </c>
      <c r="B29" t="s">
        <v>6</v>
      </c>
      <c r="C29" t="s">
        <v>7</v>
      </c>
      <c r="D29" t="s">
        <v>8</v>
      </c>
      <c r="E29" t="s">
        <v>9</v>
      </c>
      <c r="F29" t="s">
        <v>10</v>
      </c>
      <c r="G29"/>
      <c r="H29"/>
      <c r="I29"/>
      <c r="J29"/>
      <c r="K29"/>
      <c r="L29"/>
      <c r="M29"/>
      <c r="N29"/>
      <c r="O29"/>
      <c r="P29"/>
      <c r="Q29"/>
      <c r="R29"/>
      <c r="S29"/>
      <c r="T29"/>
      <c r="U29"/>
      <c r="V29"/>
      <c r="W29"/>
      <c r="X29"/>
      <c r="Y29"/>
      <c r="Z29"/>
      <c r="AA29"/>
      <c r="AB29"/>
      <c r="AC29"/>
      <c r="AD29"/>
      <c r="AE29"/>
      <c r="AF29"/>
    </row>
    <row r="30" spans="1:32" s="7" customFormat="1" x14ac:dyDescent="0.45">
      <c r="A30" t="s">
        <v>32</v>
      </c>
      <c r="B30" t="s">
        <v>6</v>
      </c>
      <c r="C30">
        <v>1</v>
      </c>
      <c r="D30" t="s">
        <v>7</v>
      </c>
      <c r="E30">
        <v>1</v>
      </c>
      <c r="F30" t="s">
        <v>8</v>
      </c>
      <c r="G30">
        <v>1</v>
      </c>
      <c r="H30" t="s">
        <v>9</v>
      </c>
      <c r="I30">
        <v>1</v>
      </c>
      <c r="J30" t="s">
        <v>10</v>
      </c>
      <c r="K30">
        <v>1</v>
      </c>
      <c r="L30"/>
      <c r="M30"/>
      <c r="N30"/>
      <c r="O30"/>
      <c r="P30"/>
      <c r="Q30"/>
      <c r="R30"/>
      <c r="S30"/>
      <c r="T30"/>
      <c r="U30"/>
      <c r="V30"/>
      <c r="W30"/>
      <c r="X30"/>
      <c r="Y30"/>
      <c r="Z30"/>
      <c r="AA30"/>
      <c r="AB30"/>
      <c r="AC30"/>
      <c r="AD30"/>
      <c r="AE30"/>
      <c r="AF30"/>
    </row>
    <row r="31" spans="1:32" s="7" customFormat="1" x14ac:dyDescent="0.45">
      <c r="A31" t="s">
        <v>122</v>
      </c>
      <c r="B31" t="s">
        <v>6</v>
      </c>
      <c r="C31">
        <v>-1</v>
      </c>
      <c r="D31" t="s">
        <v>7</v>
      </c>
      <c r="E31">
        <v>-1</v>
      </c>
      <c r="F31" t="s">
        <v>8</v>
      </c>
      <c r="G31">
        <v>-1</v>
      </c>
      <c r="H31" t="s">
        <v>9</v>
      </c>
      <c r="I31">
        <v>-1</v>
      </c>
      <c r="J31" t="s">
        <v>10</v>
      </c>
      <c r="K31">
        <v>-1</v>
      </c>
      <c r="L31"/>
      <c r="M31"/>
      <c r="N31"/>
      <c r="O31"/>
      <c r="P31"/>
      <c r="Q31"/>
      <c r="R31"/>
      <c r="S31"/>
      <c r="T31"/>
      <c r="U31"/>
      <c r="V31"/>
      <c r="W31"/>
      <c r="X31"/>
      <c r="Y31"/>
      <c r="Z31"/>
      <c r="AA31"/>
      <c r="AB31"/>
      <c r="AC31"/>
      <c r="AD31"/>
      <c r="AE31"/>
      <c r="AF31"/>
    </row>
    <row r="32" spans="1:32" s="7" customFormat="1" x14ac:dyDescent="0.45">
      <c r="A32" t="s">
        <v>123</v>
      </c>
      <c r="B32" t="s">
        <v>6</v>
      </c>
      <c r="C32">
        <v>-1</v>
      </c>
      <c r="D32" t="s">
        <v>7</v>
      </c>
      <c r="E32">
        <v>-1</v>
      </c>
      <c r="F32" t="s">
        <v>8</v>
      </c>
      <c r="G32">
        <v>-1</v>
      </c>
      <c r="H32" t="s">
        <v>9</v>
      </c>
      <c r="I32">
        <v>-1</v>
      </c>
      <c r="J32" t="s">
        <v>10</v>
      </c>
      <c r="K32">
        <v>-1</v>
      </c>
      <c r="L32"/>
      <c r="M32"/>
      <c r="N32"/>
      <c r="O32"/>
      <c r="P32"/>
      <c r="Q32"/>
      <c r="R32"/>
      <c r="S32"/>
      <c r="T32"/>
      <c r="U32"/>
      <c r="V32"/>
      <c r="W32"/>
      <c r="X32"/>
      <c r="Y32"/>
      <c r="Z32"/>
      <c r="AA32"/>
      <c r="AB32"/>
      <c r="AC32"/>
      <c r="AD32"/>
      <c r="AE32"/>
      <c r="AF32"/>
    </row>
    <row r="33" spans="1:32" s="7" customFormat="1" x14ac:dyDescent="0.45">
      <c r="A33" t="s">
        <v>65</v>
      </c>
      <c r="B33" t="s">
        <v>6</v>
      </c>
      <c r="C33">
        <v>0</v>
      </c>
      <c r="D33" t="s">
        <v>7</v>
      </c>
      <c r="E33">
        <v>0</v>
      </c>
      <c r="F33" t="s">
        <v>8</v>
      </c>
      <c r="G33">
        <v>0</v>
      </c>
      <c r="H33" t="s">
        <v>9</v>
      </c>
      <c r="I33">
        <v>0</v>
      </c>
      <c r="J33" t="s">
        <v>10</v>
      </c>
      <c r="K33">
        <v>0</v>
      </c>
      <c r="L33"/>
      <c r="M33"/>
      <c r="N33"/>
      <c r="O33"/>
      <c r="P33"/>
      <c r="Q33"/>
      <c r="R33"/>
      <c r="S33"/>
      <c r="T33"/>
      <c r="U33"/>
      <c r="V33"/>
      <c r="W33"/>
      <c r="X33"/>
      <c r="Y33"/>
      <c r="Z33"/>
      <c r="AA33"/>
      <c r="AB33"/>
      <c r="AC33"/>
      <c r="AD33"/>
      <c r="AE33"/>
      <c r="AF33"/>
    </row>
    <row r="34" spans="1:32" s="7" customFormat="1" x14ac:dyDescent="0.45">
      <c r="A34" t="s">
        <v>98</v>
      </c>
      <c r="B34" t="s">
        <v>6</v>
      </c>
      <c r="C34" t="s">
        <v>172</v>
      </c>
      <c r="D34" t="s">
        <v>7</v>
      </c>
      <c r="E34" t="s">
        <v>99</v>
      </c>
      <c r="F34" t="s">
        <v>8</v>
      </c>
      <c r="G34" t="s">
        <v>144</v>
      </c>
      <c r="H34" t="s">
        <v>9</v>
      </c>
      <c r="I34" t="s">
        <v>100</v>
      </c>
      <c r="J34" t="s">
        <v>10</v>
      </c>
      <c r="K34" t="s">
        <v>159</v>
      </c>
      <c r="L34"/>
      <c r="M34"/>
      <c r="N34"/>
      <c r="O34"/>
      <c r="P34"/>
      <c r="Q34"/>
      <c r="R34"/>
      <c r="S34"/>
      <c r="T34"/>
      <c r="U34"/>
      <c r="V34"/>
      <c r="W34"/>
      <c r="X34"/>
      <c r="Y34"/>
      <c r="Z34"/>
      <c r="AA34"/>
      <c r="AB34"/>
      <c r="AC34"/>
      <c r="AD34"/>
      <c r="AE34"/>
      <c r="AF34"/>
    </row>
    <row r="35" spans="1:32" s="7" customFormat="1" x14ac:dyDescent="0.45">
      <c r="A35" t="s">
        <v>22</v>
      </c>
      <c r="B35" t="s">
        <v>173</v>
      </c>
      <c r="C35" t="s">
        <v>174</v>
      </c>
      <c r="D35" t="s">
        <v>183</v>
      </c>
      <c r="E35" t="s">
        <v>182</v>
      </c>
      <c r="F35" t="s">
        <v>184</v>
      </c>
      <c r="G35" t="s">
        <v>178</v>
      </c>
      <c r="H35" t="s">
        <v>179</v>
      </c>
      <c r="I35" t="s">
        <v>87</v>
      </c>
      <c r="J35"/>
      <c r="K35"/>
      <c r="L35"/>
      <c r="M35"/>
      <c r="N35"/>
      <c r="O35"/>
      <c r="P35"/>
      <c r="Q35"/>
      <c r="R35"/>
      <c r="S35"/>
      <c r="T35"/>
      <c r="U35"/>
      <c r="V35"/>
      <c r="W35"/>
      <c r="X35"/>
      <c r="Y35"/>
      <c r="Z35"/>
      <c r="AA35"/>
      <c r="AB35"/>
      <c r="AC35"/>
      <c r="AD35"/>
      <c r="AE35"/>
      <c r="AF35"/>
    </row>
    <row r="36" spans="1:32" s="7" customFormat="1" x14ac:dyDescent="0.45">
      <c r="A36" t="s">
        <v>26</v>
      </c>
      <c r="B36" t="s">
        <v>180</v>
      </c>
      <c r="C36" t="s">
        <v>181</v>
      </c>
      <c r="D36" t="s">
        <v>58</v>
      </c>
      <c r="E36" t="s">
        <v>78</v>
      </c>
      <c r="F36"/>
      <c r="G36"/>
      <c r="H36"/>
      <c r="I36"/>
      <c r="J36"/>
      <c r="K36"/>
      <c r="L36"/>
      <c r="M36"/>
      <c r="N36"/>
      <c r="O36"/>
      <c r="P36"/>
      <c r="Q36"/>
      <c r="R36"/>
      <c r="S36"/>
      <c r="T36"/>
      <c r="U36"/>
      <c r="V36"/>
      <c r="W36"/>
      <c r="X36"/>
      <c r="Y36"/>
      <c r="Z36"/>
      <c r="AA36"/>
      <c r="AB36"/>
      <c r="AC36"/>
      <c r="AD36"/>
      <c r="AE36"/>
      <c r="AF36"/>
    </row>
    <row r="37" spans="1:32" s="7" customFormat="1" x14ac:dyDescent="0.45">
      <c r="A37" t="s">
        <v>33</v>
      </c>
      <c r="B37" t="s">
        <v>173</v>
      </c>
      <c r="C37" t="s">
        <v>86</v>
      </c>
      <c r="D37"/>
      <c r="E37"/>
      <c r="F37"/>
      <c r="G37"/>
      <c r="H37"/>
      <c r="I37"/>
      <c r="J37"/>
      <c r="K37"/>
      <c r="L37"/>
      <c r="M37"/>
      <c r="N37"/>
      <c r="O37"/>
      <c r="P37"/>
      <c r="Q37"/>
      <c r="R37"/>
      <c r="S37"/>
      <c r="T37"/>
      <c r="U37"/>
      <c r="V37"/>
      <c r="W37"/>
      <c r="X37"/>
      <c r="Y37"/>
      <c r="Z37"/>
      <c r="AA37"/>
      <c r="AB37"/>
      <c r="AC37"/>
      <c r="AD37"/>
      <c r="AE37"/>
      <c r="AF37"/>
    </row>
    <row r="38" spans="1:32" s="7" customFormat="1" x14ac:dyDescent="0.45">
      <c r="A38" t="s">
        <v>33</v>
      </c>
      <c r="B38" t="s">
        <v>174</v>
      </c>
      <c r="C38"/>
      <c r="D38"/>
      <c r="E38"/>
      <c r="F38"/>
      <c r="G38"/>
      <c r="H38"/>
      <c r="I38"/>
      <c r="J38"/>
      <c r="K38"/>
      <c r="L38"/>
      <c r="M38"/>
      <c r="N38"/>
      <c r="O38"/>
      <c r="P38"/>
      <c r="Q38"/>
      <c r="R38"/>
      <c r="S38"/>
      <c r="T38"/>
      <c r="U38"/>
      <c r="V38"/>
      <c r="W38"/>
      <c r="X38"/>
      <c r="Y38"/>
      <c r="Z38"/>
      <c r="AA38"/>
      <c r="AB38"/>
      <c r="AC38"/>
      <c r="AD38"/>
      <c r="AE38"/>
      <c r="AF38"/>
    </row>
    <row r="39" spans="1:32" s="7" customFormat="1" x14ac:dyDescent="0.45">
      <c r="A39" t="s">
        <v>33</v>
      </c>
      <c r="B39" t="s">
        <v>175</v>
      </c>
      <c r="C39" t="s">
        <v>104</v>
      </c>
      <c r="D39"/>
      <c r="E39"/>
      <c r="F39"/>
      <c r="G39"/>
      <c r="H39"/>
      <c r="I39"/>
      <c r="J39"/>
      <c r="K39"/>
      <c r="L39"/>
      <c r="M39"/>
      <c r="N39"/>
      <c r="O39"/>
      <c r="P39"/>
      <c r="Q39"/>
      <c r="R39"/>
      <c r="S39"/>
      <c r="T39"/>
      <c r="U39"/>
      <c r="V39"/>
      <c r="W39"/>
      <c r="X39"/>
      <c r="Y39"/>
      <c r="Z39"/>
      <c r="AA39"/>
      <c r="AB39"/>
      <c r="AC39"/>
      <c r="AD39"/>
      <c r="AE39"/>
      <c r="AF39"/>
    </row>
    <row r="40" spans="1:32" s="7" customFormat="1" x14ac:dyDescent="0.45">
      <c r="A40" t="s">
        <v>33</v>
      </c>
      <c r="B40" t="s">
        <v>176</v>
      </c>
      <c r="C40" t="s">
        <v>85</v>
      </c>
      <c r="D40"/>
      <c r="E40"/>
      <c r="F40"/>
      <c r="G40"/>
      <c r="H40"/>
      <c r="I40"/>
      <c r="J40"/>
      <c r="K40"/>
      <c r="L40"/>
      <c r="M40"/>
      <c r="N40"/>
      <c r="O40"/>
      <c r="P40"/>
      <c r="Q40"/>
      <c r="R40"/>
      <c r="S40"/>
      <c r="T40"/>
      <c r="U40"/>
      <c r="V40"/>
      <c r="W40"/>
      <c r="X40"/>
      <c r="Y40"/>
      <c r="Z40"/>
      <c r="AA40"/>
      <c r="AB40"/>
      <c r="AC40"/>
      <c r="AD40"/>
      <c r="AE40"/>
      <c r="AF40"/>
    </row>
    <row r="41" spans="1:32" s="7" customFormat="1" x14ac:dyDescent="0.45">
      <c r="A41" t="s">
        <v>33</v>
      </c>
      <c r="B41" t="s">
        <v>177</v>
      </c>
      <c r="C41" t="s">
        <v>166</v>
      </c>
      <c r="D41"/>
      <c r="E41"/>
      <c r="F41"/>
      <c r="G41"/>
      <c r="H41"/>
      <c r="I41"/>
      <c r="J41"/>
      <c r="K41"/>
      <c r="L41"/>
      <c r="M41"/>
      <c r="N41"/>
      <c r="O41"/>
      <c r="P41"/>
      <c r="Q41"/>
      <c r="R41"/>
      <c r="S41"/>
      <c r="T41"/>
      <c r="U41"/>
      <c r="V41"/>
      <c r="W41"/>
      <c r="X41"/>
      <c r="Y41"/>
      <c r="Z41"/>
      <c r="AA41"/>
      <c r="AB41"/>
      <c r="AC41"/>
      <c r="AD41"/>
      <c r="AE41"/>
      <c r="AF41"/>
    </row>
    <row r="42" spans="1:32" s="7" customFormat="1" x14ac:dyDescent="0.45">
      <c r="A42" t="s">
        <v>33</v>
      </c>
      <c r="B42" t="s">
        <v>178</v>
      </c>
      <c r="C42" t="s">
        <v>86</v>
      </c>
      <c r="D42"/>
      <c r="E42"/>
      <c r="F42"/>
      <c r="G42"/>
      <c r="H42"/>
      <c r="I42"/>
      <c r="J42"/>
      <c r="K42"/>
      <c r="L42"/>
      <c r="M42"/>
      <c r="N42"/>
      <c r="O42"/>
      <c r="P42"/>
      <c r="Q42"/>
      <c r="R42"/>
      <c r="S42"/>
      <c r="T42"/>
      <c r="U42"/>
      <c r="V42"/>
      <c r="W42"/>
      <c r="X42"/>
      <c r="Y42"/>
      <c r="Z42"/>
      <c r="AA42"/>
      <c r="AB42"/>
      <c r="AC42"/>
      <c r="AD42"/>
      <c r="AE42"/>
      <c r="AF42"/>
    </row>
    <row r="43" spans="1:32" s="7" customFormat="1" x14ac:dyDescent="0.45">
      <c r="A43" t="s">
        <v>33</v>
      </c>
      <c r="B43" t="s">
        <v>179</v>
      </c>
      <c r="C43" t="s">
        <v>167</v>
      </c>
      <c r="D43"/>
      <c r="E43"/>
      <c r="F43"/>
      <c r="G43"/>
      <c r="H43"/>
      <c r="I43"/>
      <c r="J43"/>
      <c r="K43"/>
      <c r="L43"/>
      <c r="M43"/>
      <c r="N43"/>
      <c r="O43"/>
      <c r="P43"/>
      <c r="Q43"/>
      <c r="R43"/>
      <c r="S43"/>
      <c r="T43"/>
      <c r="U43"/>
      <c r="V43"/>
      <c r="W43"/>
      <c r="X43"/>
      <c r="Y43"/>
      <c r="Z43"/>
      <c r="AA43"/>
      <c r="AB43"/>
      <c r="AC43"/>
      <c r="AD43"/>
      <c r="AE43"/>
      <c r="AF43"/>
    </row>
    <row r="44" spans="1:32" s="7" customFormat="1" x14ac:dyDescent="0.45">
      <c r="A44" t="s">
        <v>33</v>
      </c>
      <c r="B44" t="s">
        <v>87</v>
      </c>
      <c r="C44" t="s">
        <v>86</v>
      </c>
      <c r="D44"/>
      <c r="E44"/>
      <c r="F44"/>
      <c r="G44"/>
      <c r="H44"/>
      <c r="I44"/>
      <c r="J44"/>
      <c r="K44"/>
      <c r="L44"/>
      <c r="M44"/>
      <c r="N44"/>
      <c r="O44"/>
      <c r="P44"/>
      <c r="Q44"/>
      <c r="R44"/>
      <c r="S44"/>
      <c r="T44"/>
      <c r="U44"/>
      <c r="V44"/>
      <c r="W44"/>
      <c r="X44"/>
      <c r="Y44"/>
      <c r="Z44"/>
      <c r="AA44"/>
      <c r="AB44"/>
      <c r="AC44"/>
      <c r="AD44"/>
      <c r="AE44"/>
      <c r="AF44"/>
    </row>
    <row r="45" spans="1:32" s="7" customFormat="1" x14ac:dyDescent="0.45">
      <c r="A45" t="s">
        <v>33</v>
      </c>
      <c r="B45" t="s">
        <v>180</v>
      </c>
      <c r="C45" t="s">
        <v>86</v>
      </c>
      <c r="D45"/>
      <c r="E45"/>
      <c r="F45"/>
      <c r="G45"/>
      <c r="H45"/>
      <c r="I45"/>
      <c r="J45"/>
      <c r="K45"/>
      <c r="L45"/>
      <c r="M45"/>
      <c r="N45"/>
      <c r="O45"/>
      <c r="P45"/>
      <c r="Q45"/>
      <c r="R45"/>
      <c r="S45"/>
      <c r="T45"/>
      <c r="U45"/>
      <c r="V45"/>
      <c r="W45"/>
      <c r="X45"/>
      <c r="Y45"/>
      <c r="Z45"/>
      <c r="AA45"/>
      <c r="AB45"/>
      <c r="AC45"/>
      <c r="AD45"/>
      <c r="AE45"/>
      <c r="AF45"/>
    </row>
    <row r="46" spans="1:32" s="7" customFormat="1" x14ac:dyDescent="0.45">
      <c r="A46" t="s">
        <v>33</v>
      </c>
      <c r="B46" t="s">
        <v>181</v>
      </c>
      <c r="C46"/>
      <c r="D46"/>
      <c r="E46"/>
      <c r="F46"/>
      <c r="G46"/>
      <c r="H46"/>
      <c r="I46"/>
      <c r="J46"/>
      <c r="K46"/>
      <c r="L46"/>
      <c r="M46"/>
      <c r="N46"/>
      <c r="O46"/>
      <c r="P46"/>
      <c r="Q46"/>
      <c r="R46"/>
      <c r="S46"/>
      <c r="T46"/>
      <c r="U46"/>
      <c r="V46"/>
      <c r="W46"/>
      <c r="X46"/>
      <c r="Y46"/>
      <c r="Z46"/>
      <c r="AA46"/>
      <c r="AB46"/>
      <c r="AC46"/>
      <c r="AD46"/>
      <c r="AE46"/>
      <c r="AF46"/>
    </row>
    <row r="47" spans="1:32" s="7" customFormat="1" x14ac:dyDescent="0.45">
      <c r="A47" t="s">
        <v>33</v>
      </c>
      <c r="B47" t="s">
        <v>58</v>
      </c>
      <c r="C47"/>
      <c r="D47"/>
      <c r="E47"/>
      <c r="F47"/>
      <c r="G47"/>
      <c r="H47"/>
      <c r="I47"/>
      <c r="J47"/>
      <c r="K47"/>
      <c r="L47"/>
      <c r="M47"/>
      <c r="N47"/>
      <c r="O47"/>
      <c r="P47"/>
      <c r="Q47"/>
      <c r="R47"/>
      <c r="S47"/>
      <c r="T47"/>
      <c r="U47"/>
      <c r="V47"/>
      <c r="W47"/>
      <c r="X47"/>
      <c r="Y47"/>
      <c r="Z47"/>
      <c r="AA47"/>
      <c r="AB47"/>
      <c r="AC47"/>
      <c r="AD47"/>
      <c r="AE47"/>
      <c r="AF47"/>
    </row>
    <row r="48" spans="1:32" s="7" customFormat="1" x14ac:dyDescent="0.45">
      <c r="A48" t="s">
        <v>11</v>
      </c>
      <c r="B48"/>
      <c r="C48"/>
      <c r="D48"/>
      <c r="E48"/>
      <c r="F48"/>
      <c r="G48"/>
      <c r="H48"/>
      <c r="I48"/>
      <c r="J48"/>
      <c r="K48"/>
      <c r="L48"/>
      <c r="M48"/>
      <c r="N48"/>
      <c r="O48"/>
      <c r="P48"/>
      <c r="Q48"/>
      <c r="R48"/>
      <c r="S48"/>
      <c r="T48"/>
      <c r="U48"/>
      <c r="V48"/>
      <c r="W48"/>
      <c r="X48"/>
      <c r="Y48"/>
      <c r="Z48"/>
      <c r="AA48"/>
      <c r="AB48"/>
      <c r="AC48"/>
      <c r="AD48"/>
      <c r="AE48"/>
      <c r="AF48"/>
    </row>
    <row r="49" spans="1:32" s="7" customFormat="1" x14ac:dyDescent="0.45">
      <c r="A49" t="s">
        <v>11</v>
      </c>
      <c r="B49"/>
      <c r="C49"/>
      <c r="D49"/>
      <c r="E49"/>
      <c r="F49"/>
      <c r="G49"/>
      <c r="H49"/>
      <c r="I49"/>
      <c r="J49"/>
      <c r="K49"/>
      <c r="L49"/>
      <c r="M49"/>
      <c r="N49"/>
      <c r="O49"/>
      <c r="P49"/>
      <c r="Q49"/>
      <c r="R49"/>
      <c r="S49"/>
      <c r="T49"/>
      <c r="U49"/>
      <c r="V49"/>
      <c r="W49"/>
      <c r="X49"/>
      <c r="Y49"/>
      <c r="Z49"/>
      <c r="AA49"/>
      <c r="AB49"/>
      <c r="AC49"/>
      <c r="AD49"/>
      <c r="AE49"/>
      <c r="AF49"/>
    </row>
    <row r="50" spans="1:32" x14ac:dyDescent="0.45">
      <c r="A50" t="s">
        <v>11</v>
      </c>
      <c r="B50"/>
      <c r="C50"/>
      <c r="D50"/>
      <c r="E50"/>
      <c r="F50"/>
      <c r="G50"/>
      <c r="H50"/>
      <c r="I50"/>
      <c r="J50"/>
      <c r="K50"/>
      <c r="L50"/>
      <c r="M50"/>
      <c r="N50"/>
      <c r="O50"/>
    </row>
    <row r="51" spans="1:32" x14ac:dyDescent="0.45">
      <c r="A51" t="s">
        <v>11</v>
      </c>
      <c r="B51"/>
      <c r="C51"/>
      <c r="D51"/>
      <c r="E51"/>
      <c r="F51"/>
      <c r="G51"/>
      <c r="H51"/>
      <c r="I51"/>
      <c r="J51"/>
      <c r="K51"/>
      <c r="L51"/>
      <c r="M51"/>
      <c r="N51"/>
      <c r="O51"/>
    </row>
    <row r="52" spans="1:32" s="7" customFormat="1" x14ac:dyDescent="0.45">
      <c r="A52" t="s">
        <v>11</v>
      </c>
      <c r="B52"/>
      <c r="C52"/>
      <c r="D52"/>
      <c r="E52"/>
      <c r="F52"/>
      <c r="G52"/>
      <c r="H52"/>
      <c r="I52"/>
      <c r="J52"/>
      <c r="K52"/>
      <c r="L52"/>
      <c r="M52"/>
      <c r="N52"/>
      <c r="O52"/>
      <c r="P52"/>
      <c r="Q52"/>
      <c r="R52"/>
      <c r="S52"/>
      <c r="T52"/>
      <c r="U52"/>
      <c r="V52"/>
      <c r="W52"/>
      <c r="X52"/>
      <c r="Y52"/>
      <c r="Z52"/>
      <c r="AA52"/>
      <c r="AB52"/>
      <c r="AC52"/>
      <c r="AD52"/>
      <c r="AE52"/>
      <c r="AF52"/>
    </row>
    <row r="53" spans="1:32" s="7" customFormat="1" x14ac:dyDescent="0.45">
      <c r="A53" t="s">
        <v>11</v>
      </c>
      <c r="B53"/>
      <c r="C53"/>
      <c r="D53"/>
      <c r="E53"/>
      <c r="F53"/>
      <c r="G53"/>
      <c r="H53"/>
      <c r="I53"/>
      <c r="J53"/>
      <c r="K53"/>
      <c r="L53"/>
      <c r="M53"/>
      <c r="N53"/>
      <c r="O53"/>
      <c r="P53"/>
      <c r="Q53"/>
      <c r="R53"/>
      <c r="S53"/>
      <c r="T53"/>
      <c r="U53"/>
      <c r="V53"/>
      <c r="W53"/>
      <c r="X53"/>
      <c r="Y53"/>
      <c r="Z53"/>
      <c r="AA53"/>
      <c r="AB53"/>
      <c r="AC53"/>
      <c r="AD53"/>
      <c r="AE53"/>
      <c r="AF53"/>
    </row>
    <row r="54" spans="1:32" s="7" customFormat="1" x14ac:dyDescent="0.45">
      <c r="A54" t="s">
        <v>54</v>
      </c>
      <c r="B54" t="s">
        <v>55</v>
      </c>
      <c r="C54" t="s">
        <v>103</v>
      </c>
      <c r="D54" t="s">
        <v>56</v>
      </c>
      <c r="E54" t="s">
        <v>105</v>
      </c>
      <c r="F54" t="s">
        <v>57</v>
      </c>
      <c r="G54" t="s">
        <v>153</v>
      </c>
      <c r="H54"/>
      <c r="I54"/>
      <c r="J54"/>
      <c r="K54"/>
      <c r="L54"/>
      <c r="M54"/>
      <c r="N54"/>
      <c r="O54"/>
      <c r="P54"/>
      <c r="Q54"/>
      <c r="R54"/>
      <c r="S54"/>
      <c r="T54"/>
      <c r="U54"/>
      <c r="V54"/>
      <c r="W54"/>
      <c r="X54"/>
      <c r="Y54"/>
      <c r="Z54"/>
      <c r="AA54"/>
      <c r="AB54"/>
      <c r="AC54"/>
      <c r="AD54"/>
      <c r="AE54"/>
      <c r="AF54"/>
    </row>
    <row r="55" spans="1:32" s="7" customFormat="1" x14ac:dyDescent="0.45">
      <c r="A55" t="s">
        <v>52</v>
      </c>
      <c r="B55"/>
      <c r="C55"/>
      <c r="D55"/>
      <c r="E55"/>
      <c r="F55"/>
      <c r="G55"/>
      <c r="H55"/>
      <c r="I55"/>
      <c r="J55"/>
      <c r="K55"/>
      <c r="L55"/>
      <c r="M55"/>
      <c r="N55"/>
      <c r="O55"/>
      <c r="P55"/>
      <c r="Q55"/>
      <c r="R55"/>
      <c r="S55"/>
      <c r="T55"/>
      <c r="U55"/>
      <c r="V55"/>
      <c r="W55"/>
      <c r="X55"/>
      <c r="Y55"/>
      <c r="Z55"/>
      <c r="AA55"/>
      <c r="AB55"/>
      <c r="AC55"/>
      <c r="AD55"/>
      <c r="AE55"/>
      <c r="AF55"/>
    </row>
    <row r="56" spans="1:32" s="7" customFormat="1" x14ac:dyDescent="0.45">
      <c r="A56" t="s">
        <v>95</v>
      </c>
      <c r="B56" t="s">
        <v>36</v>
      </c>
      <c r="C56" t="s">
        <v>37</v>
      </c>
      <c r="D56" t="s">
        <v>38</v>
      </c>
      <c r="E56" t="s">
        <v>39</v>
      </c>
      <c r="F56" t="s">
        <v>38</v>
      </c>
      <c r="G56" t="s">
        <v>40</v>
      </c>
      <c r="H56" t="s">
        <v>38</v>
      </c>
      <c r="I56" t="s">
        <v>47</v>
      </c>
      <c r="J56" t="s">
        <v>38</v>
      </c>
      <c r="K56"/>
      <c r="L56"/>
      <c r="M56"/>
      <c r="N56"/>
      <c r="O56"/>
      <c r="P56"/>
      <c r="Q56"/>
      <c r="R56"/>
      <c r="S56"/>
      <c r="T56"/>
      <c r="U56"/>
      <c r="V56"/>
      <c r="W56"/>
      <c r="X56"/>
      <c r="Y56"/>
      <c r="Z56"/>
      <c r="AA56"/>
      <c r="AB56"/>
      <c r="AC56"/>
      <c r="AD56"/>
      <c r="AE56"/>
      <c r="AF56"/>
    </row>
    <row r="57" spans="1:32" s="7" customFormat="1" x14ac:dyDescent="0.45">
      <c r="A57" t="s">
        <v>41</v>
      </c>
      <c r="B57" t="s">
        <v>48</v>
      </c>
      <c r="C57" t="s">
        <v>42</v>
      </c>
      <c r="D57">
        <v>20000</v>
      </c>
      <c r="E57" t="s">
        <v>92</v>
      </c>
      <c r="F57">
        <v>0</v>
      </c>
      <c r="G57" t="s">
        <v>90</v>
      </c>
      <c r="H57">
        <v>500</v>
      </c>
      <c r="I57" t="s">
        <v>91</v>
      </c>
      <c r="J57">
        <v>10</v>
      </c>
      <c r="K57"/>
      <c r="L57"/>
      <c r="M57"/>
      <c r="N57"/>
      <c r="O57"/>
      <c r="P57"/>
      <c r="Q57"/>
      <c r="R57"/>
      <c r="S57"/>
      <c r="T57"/>
      <c r="U57"/>
      <c r="V57"/>
      <c r="W57"/>
      <c r="X57"/>
      <c r="Y57"/>
      <c r="Z57"/>
      <c r="AA57"/>
      <c r="AB57"/>
      <c r="AC57"/>
      <c r="AD57"/>
      <c r="AE57"/>
      <c r="AF57"/>
    </row>
    <row r="58" spans="1:32" s="7" customFormat="1" x14ac:dyDescent="0.45">
      <c r="A58" t="s">
        <v>41</v>
      </c>
      <c r="B58" t="s">
        <v>49</v>
      </c>
      <c r="C58" t="s">
        <v>6</v>
      </c>
      <c r="D58">
        <v>1</v>
      </c>
      <c r="E58"/>
      <c r="F58"/>
      <c r="G58"/>
      <c r="H58"/>
      <c r="I58"/>
      <c r="J58"/>
      <c r="K58"/>
      <c r="L58"/>
      <c r="M58"/>
      <c r="N58"/>
      <c r="O58"/>
      <c r="P58"/>
      <c r="Q58"/>
      <c r="R58"/>
      <c r="S58"/>
      <c r="T58"/>
      <c r="U58"/>
      <c r="V58"/>
      <c r="W58"/>
      <c r="X58"/>
      <c r="Y58"/>
      <c r="Z58"/>
      <c r="AA58"/>
      <c r="AB58"/>
      <c r="AC58"/>
      <c r="AD58"/>
      <c r="AE58"/>
      <c r="AF58"/>
    </row>
    <row r="59" spans="1:32" s="7" customFormat="1" x14ac:dyDescent="0.45">
      <c r="A59" t="s">
        <v>41</v>
      </c>
      <c r="B59" t="s">
        <v>50</v>
      </c>
      <c r="C59"/>
      <c r="D59"/>
      <c r="E59"/>
      <c r="F59"/>
      <c r="G59"/>
      <c r="H59"/>
      <c r="I59"/>
      <c r="J59"/>
      <c r="K59"/>
      <c r="L59"/>
      <c r="M59"/>
      <c r="N59"/>
      <c r="O59"/>
      <c r="P59"/>
      <c r="Q59"/>
      <c r="R59"/>
      <c r="S59"/>
      <c r="T59"/>
      <c r="U59"/>
      <c r="V59"/>
      <c r="W59"/>
      <c r="X59"/>
      <c r="Y59"/>
      <c r="Z59"/>
      <c r="AA59"/>
      <c r="AB59"/>
      <c r="AC59"/>
      <c r="AD59"/>
      <c r="AE59"/>
      <c r="AF59"/>
    </row>
    <row r="60" spans="1:32" s="7" customFormat="1" x14ac:dyDescent="0.45">
      <c r="A60" t="s">
        <v>41</v>
      </c>
      <c r="B60" t="s">
        <v>51</v>
      </c>
      <c r="C60"/>
      <c r="D60"/>
      <c r="E60"/>
      <c r="F60"/>
      <c r="G60"/>
      <c r="H60"/>
      <c r="I60"/>
      <c r="J60"/>
      <c r="K60"/>
      <c r="L60"/>
      <c r="M60"/>
      <c r="N60"/>
      <c r="O60"/>
      <c r="P60"/>
      <c r="Q60"/>
      <c r="R60"/>
      <c r="S60"/>
      <c r="T60"/>
      <c r="U60"/>
      <c r="V60"/>
      <c r="W60"/>
      <c r="X60"/>
      <c r="Y60"/>
      <c r="Z60"/>
      <c r="AA60"/>
      <c r="AB60"/>
      <c r="AC60"/>
      <c r="AD60"/>
      <c r="AE60"/>
      <c r="AF60"/>
    </row>
    <row r="61" spans="1:32" s="7" customFormat="1" x14ac:dyDescent="0.45">
      <c r="A61" t="s">
        <v>43</v>
      </c>
      <c r="B61" t="s">
        <v>48</v>
      </c>
      <c r="C61" t="s">
        <v>42</v>
      </c>
      <c r="D61">
        <v>1</v>
      </c>
      <c r="E61" t="s">
        <v>92</v>
      </c>
      <c r="F61">
        <v>0</v>
      </c>
      <c r="G61" t="s">
        <v>90</v>
      </c>
      <c r="H61">
        <v>60</v>
      </c>
      <c r="I61" t="s">
        <v>91</v>
      </c>
      <c r="J61">
        <v>10</v>
      </c>
      <c r="K61"/>
      <c r="L61"/>
      <c r="M61"/>
      <c r="N61"/>
      <c r="O61"/>
      <c r="P61"/>
      <c r="Q61"/>
      <c r="R61"/>
      <c r="S61"/>
      <c r="T61"/>
      <c r="U61"/>
      <c r="V61"/>
      <c r="W61"/>
      <c r="X61"/>
      <c r="Y61"/>
      <c r="Z61"/>
      <c r="AA61"/>
      <c r="AB61"/>
      <c r="AC61"/>
      <c r="AD61"/>
      <c r="AE61"/>
      <c r="AF61"/>
    </row>
    <row r="62" spans="1:32" s="7" customFormat="1" x14ac:dyDescent="0.45">
      <c r="A62" t="s">
        <v>43</v>
      </c>
      <c r="B62" t="s">
        <v>49</v>
      </c>
      <c r="C62" t="s">
        <v>7</v>
      </c>
      <c r="D62">
        <v>1</v>
      </c>
      <c r="E62"/>
      <c r="F62"/>
      <c r="G62"/>
      <c r="H62"/>
      <c r="I62"/>
      <c r="J62"/>
      <c r="K62"/>
      <c r="L62"/>
      <c r="M62"/>
      <c r="N62"/>
      <c r="O62"/>
      <c r="P62"/>
      <c r="Q62"/>
      <c r="R62"/>
      <c r="S62"/>
      <c r="T62"/>
      <c r="U62"/>
      <c r="V62"/>
      <c r="W62"/>
      <c r="X62"/>
      <c r="Y62"/>
      <c r="Z62"/>
      <c r="AA62"/>
      <c r="AB62"/>
      <c r="AC62"/>
      <c r="AD62"/>
      <c r="AE62"/>
      <c r="AF62"/>
    </row>
    <row r="63" spans="1:32" s="7" customFormat="1" x14ac:dyDescent="0.45">
      <c r="A63" t="s">
        <v>43</v>
      </c>
      <c r="B63" t="s">
        <v>50</v>
      </c>
      <c r="C63" t="s">
        <v>103</v>
      </c>
      <c r="D63">
        <v>0</v>
      </c>
      <c r="E63" t="s">
        <v>58</v>
      </c>
      <c r="F63">
        <v>0</v>
      </c>
      <c r="G63" t="s">
        <v>78</v>
      </c>
      <c r="H63">
        <v>1E-4</v>
      </c>
      <c r="I63" t="s">
        <v>105</v>
      </c>
      <c r="J63">
        <v>0</v>
      </c>
      <c r="K63"/>
      <c r="L63"/>
      <c r="M63"/>
      <c r="N63"/>
      <c r="O63"/>
      <c r="P63"/>
      <c r="Q63"/>
      <c r="R63"/>
      <c r="S63"/>
      <c r="T63"/>
      <c r="U63"/>
      <c r="V63"/>
      <c r="W63"/>
      <c r="X63"/>
      <c r="Y63"/>
      <c r="Z63"/>
      <c r="AA63"/>
      <c r="AB63"/>
      <c r="AC63"/>
      <c r="AD63"/>
      <c r="AE63"/>
      <c r="AF63"/>
    </row>
    <row r="64" spans="1:32" s="7" customFormat="1" x14ac:dyDescent="0.45">
      <c r="A64" t="s">
        <v>43</v>
      </c>
      <c r="B64" t="s">
        <v>51</v>
      </c>
      <c r="C64" t="s">
        <v>154</v>
      </c>
      <c r="D64">
        <v>0.5</v>
      </c>
      <c r="E64" t="s">
        <v>153</v>
      </c>
      <c r="F64">
        <v>0</v>
      </c>
      <c r="G64" t="s">
        <v>150</v>
      </c>
      <c r="H64">
        <v>0</v>
      </c>
      <c r="I64" t="s">
        <v>87</v>
      </c>
      <c r="J64">
        <v>0</v>
      </c>
      <c r="K64"/>
      <c r="L64"/>
      <c r="M64"/>
      <c r="N64"/>
      <c r="O64"/>
      <c r="P64"/>
      <c r="Q64"/>
      <c r="R64"/>
      <c r="S64"/>
      <c r="T64"/>
      <c r="U64"/>
      <c r="V64"/>
      <c r="W64"/>
      <c r="X64"/>
      <c r="Y64"/>
      <c r="Z64"/>
      <c r="AA64"/>
      <c r="AB64"/>
      <c r="AC64"/>
      <c r="AD64"/>
      <c r="AE64"/>
      <c r="AF64"/>
    </row>
    <row r="65" spans="1:32" s="7" customFormat="1" x14ac:dyDescent="0.45">
      <c r="A65" t="s">
        <v>44</v>
      </c>
      <c r="B65" t="s">
        <v>48</v>
      </c>
      <c r="C65" t="s">
        <v>42</v>
      </c>
      <c r="D65">
        <v>1</v>
      </c>
      <c r="E65" t="s">
        <v>92</v>
      </c>
      <c r="F65">
        <v>0</v>
      </c>
      <c r="G65" t="s">
        <v>90</v>
      </c>
      <c r="H65">
        <v>60</v>
      </c>
      <c r="I65" t="s">
        <v>91</v>
      </c>
      <c r="J65">
        <v>10</v>
      </c>
      <c r="K65"/>
      <c r="L65"/>
      <c r="M65"/>
      <c r="N65"/>
      <c r="O65"/>
      <c r="P65"/>
      <c r="Q65"/>
      <c r="R65"/>
      <c r="S65"/>
      <c r="T65"/>
      <c r="U65"/>
      <c r="V65"/>
      <c r="W65"/>
      <c r="X65"/>
      <c r="Y65"/>
      <c r="Z65"/>
      <c r="AA65"/>
      <c r="AB65"/>
      <c r="AC65"/>
      <c r="AD65"/>
      <c r="AE65"/>
      <c r="AF65"/>
    </row>
    <row r="66" spans="1:32" s="7" customFormat="1" x14ac:dyDescent="0.45">
      <c r="A66" t="s">
        <v>44</v>
      </c>
      <c r="B66" t="s">
        <v>49</v>
      </c>
      <c r="C66" t="s">
        <v>8</v>
      </c>
      <c r="D66">
        <v>1</v>
      </c>
      <c r="E66"/>
      <c r="F66"/>
      <c r="G66"/>
      <c r="H66"/>
      <c r="I66"/>
      <c r="J66"/>
      <c r="K66"/>
      <c r="L66"/>
      <c r="M66"/>
      <c r="N66"/>
      <c r="O66"/>
      <c r="P66"/>
      <c r="Q66"/>
      <c r="R66"/>
      <c r="S66"/>
      <c r="T66"/>
      <c r="U66"/>
      <c r="V66"/>
      <c r="W66"/>
      <c r="X66"/>
      <c r="Y66"/>
      <c r="Z66"/>
      <c r="AA66"/>
      <c r="AB66"/>
      <c r="AC66"/>
      <c r="AD66"/>
      <c r="AE66"/>
      <c r="AF66"/>
    </row>
    <row r="67" spans="1:32" s="7" customFormat="1" x14ac:dyDescent="0.45">
      <c r="A67" t="s">
        <v>44</v>
      </c>
      <c r="B67" t="s">
        <v>50</v>
      </c>
      <c r="C67" t="s">
        <v>103</v>
      </c>
      <c r="D67">
        <v>0</v>
      </c>
      <c r="E67" t="s">
        <v>78</v>
      </c>
      <c r="F67">
        <v>1E-4</v>
      </c>
      <c r="G67"/>
      <c r="H67"/>
      <c r="I67"/>
      <c r="J67"/>
      <c r="K67"/>
      <c r="L67"/>
      <c r="M67"/>
      <c r="N67"/>
      <c r="O67"/>
      <c r="P67"/>
      <c r="Q67"/>
      <c r="R67"/>
      <c r="S67"/>
      <c r="T67"/>
      <c r="U67"/>
      <c r="V67"/>
      <c r="W67"/>
      <c r="X67"/>
      <c r="Y67"/>
      <c r="Z67"/>
      <c r="AA67"/>
      <c r="AB67"/>
      <c r="AC67"/>
      <c r="AD67"/>
      <c r="AE67"/>
      <c r="AF67"/>
    </row>
    <row r="68" spans="1:32" s="7" customFormat="1" x14ac:dyDescent="0.45">
      <c r="A68" t="s">
        <v>44</v>
      </c>
      <c r="B68" t="s">
        <v>51</v>
      </c>
      <c r="C68" t="s">
        <v>154</v>
      </c>
      <c r="D68">
        <v>0.5</v>
      </c>
      <c r="E68" t="s">
        <v>153</v>
      </c>
      <c r="F68">
        <v>0</v>
      </c>
      <c r="G68" t="s">
        <v>151</v>
      </c>
      <c r="H68">
        <v>0</v>
      </c>
      <c r="I68"/>
      <c r="J68"/>
      <c r="K68"/>
      <c r="L68"/>
      <c r="M68"/>
      <c r="N68"/>
      <c r="O68"/>
      <c r="P68"/>
      <c r="Q68"/>
      <c r="R68"/>
      <c r="S68"/>
      <c r="T68"/>
      <c r="U68"/>
      <c r="V68"/>
      <c r="W68"/>
      <c r="X68"/>
      <c r="Y68"/>
      <c r="Z68"/>
      <c r="AA68"/>
      <c r="AB68"/>
      <c r="AC68"/>
      <c r="AD68"/>
      <c r="AE68"/>
      <c r="AF68"/>
    </row>
    <row r="69" spans="1:32" s="7" customFormat="1" x14ac:dyDescent="0.45">
      <c r="A69" t="s">
        <v>45</v>
      </c>
      <c r="B69" t="s">
        <v>48</v>
      </c>
      <c r="C69" t="s">
        <v>42</v>
      </c>
      <c r="D69">
        <v>1</v>
      </c>
      <c r="E69" t="s">
        <v>92</v>
      </c>
      <c r="F69">
        <v>0</v>
      </c>
      <c r="G69" t="s">
        <v>90</v>
      </c>
      <c r="H69">
        <v>60</v>
      </c>
      <c r="I69" t="s">
        <v>91</v>
      </c>
      <c r="J69">
        <v>10</v>
      </c>
      <c r="K69"/>
      <c r="L69"/>
      <c r="M69"/>
      <c r="N69"/>
      <c r="O69"/>
      <c r="P69"/>
      <c r="Q69"/>
      <c r="R69"/>
      <c r="S69"/>
      <c r="T69"/>
      <c r="U69"/>
      <c r="V69"/>
      <c r="W69"/>
      <c r="X69"/>
      <c r="Y69"/>
      <c r="Z69"/>
      <c r="AA69"/>
      <c r="AB69"/>
      <c r="AC69"/>
      <c r="AD69"/>
      <c r="AE69"/>
      <c r="AF69"/>
    </row>
    <row r="70" spans="1:32" s="7" customFormat="1" x14ac:dyDescent="0.45">
      <c r="A70" t="s">
        <v>45</v>
      </c>
      <c r="B70" t="s">
        <v>49</v>
      </c>
      <c r="C70" t="s">
        <v>9</v>
      </c>
      <c r="D70">
        <v>1</v>
      </c>
      <c r="E70"/>
      <c r="F70"/>
      <c r="G70"/>
      <c r="H70"/>
      <c r="I70"/>
      <c r="J70"/>
      <c r="K70"/>
      <c r="L70"/>
      <c r="M70"/>
      <c r="N70"/>
      <c r="O70"/>
      <c r="P70"/>
      <c r="Q70"/>
      <c r="R70"/>
      <c r="S70"/>
      <c r="T70"/>
      <c r="U70"/>
      <c r="V70"/>
      <c r="W70"/>
      <c r="X70"/>
      <c r="Y70"/>
      <c r="Z70"/>
      <c r="AA70"/>
      <c r="AB70"/>
      <c r="AC70"/>
      <c r="AD70"/>
      <c r="AE70"/>
      <c r="AF70"/>
    </row>
    <row r="71" spans="1:32" s="7" customFormat="1" x14ac:dyDescent="0.45">
      <c r="A71" t="s">
        <v>45</v>
      </c>
      <c r="B71" t="s">
        <v>50</v>
      </c>
      <c r="C71" t="s">
        <v>103</v>
      </c>
      <c r="D71">
        <v>0</v>
      </c>
      <c r="E71" t="s">
        <v>78</v>
      </c>
      <c r="F71">
        <v>1E-4</v>
      </c>
      <c r="G71"/>
      <c r="H71"/>
      <c r="I71"/>
      <c r="J71"/>
      <c r="K71"/>
      <c r="L71"/>
      <c r="M71"/>
      <c r="N71"/>
      <c r="O71"/>
      <c r="P71"/>
      <c r="Q71"/>
      <c r="R71"/>
      <c r="S71"/>
      <c r="T71"/>
      <c r="U71"/>
      <c r="V71"/>
      <c r="W71"/>
      <c r="X71"/>
      <c r="Y71"/>
      <c r="Z71"/>
      <c r="AA71"/>
      <c r="AB71"/>
      <c r="AC71"/>
      <c r="AD71"/>
      <c r="AE71"/>
      <c r="AF71"/>
    </row>
    <row r="72" spans="1:32" s="7" customFormat="1" x14ac:dyDescent="0.45">
      <c r="A72" t="s">
        <v>45</v>
      </c>
      <c r="B72" t="s">
        <v>51</v>
      </c>
      <c r="C72" t="s">
        <v>151</v>
      </c>
      <c r="D72">
        <v>0</v>
      </c>
      <c r="E72" t="s">
        <v>152</v>
      </c>
      <c r="F72">
        <v>0</v>
      </c>
      <c r="G72" t="s">
        <v>154</v>
      </c>
      <c r="H72">
        <v>1</v>
      </c>
      <c r="I72" t="s">
        <v>153</v>
      </c>
      <c r="J72">
        <v>0</v>
      </c>
      <c r="K72"/>
      <c r="L72"/>
      <c r="M72"/>
      <c r="N72"/>
      <c r="O72"/>
      <c r="P72"/>
      <c r="Q72"/>
      <c r="R72"/>
      <c r="S72"/>
      <c r="T72"/>
      <c r="U72"/>
      <c r="V72"/>
      <c r="W72"/>
      <c r="X72"/>
      <c r="Y72"/>
      <c r="Z72"/>
      <c r="AA72"/>
      <c r="AB72"/>
      <c r="AC72"/>
      <c r="AD72"/>
      <c r="AE72"/>
      <c r="AF72"/>
    </row>
    <row r="73" spans="1:32" s="7" customFormat="1" x14ac:dyDescent="0.45">
      <c r="A73" t="s">
        <v>46</v>
      </c>
      <c r="B73" t="s">
        <v>48</v>
      </c>
      <c r="C73" t="s">
        <v>42</v>
      </c>
      <c r="D73">
        <v>1</v>
      </c>
      <c r="E73" t="s">
        <v>92</v>
      </c>
      <c r="F73">
        <v>0</v>
      </c>
      <c r="G73" t="s">
        <v>90</v>
      </c>
      <c r="H73">
        <v>60</v>
      </c>
      <c r="I73" t="s">
        <v>91</v>
      </c>
      <c r="J73">
        <v>2</v>
      </c>
      <c r="K73"/>
      <c r="L73"/>
      <c r="M73"/>
      <c r="N73"/>
      <c r="O73"/>
      <c r="P73"/>
      <c r="Q73"/>
      <c r="R73"/>
      <c r="S73"/>
      <c r="T73"/>
      <c r="U73"/>
      <c r="V73"/>
      <c r="W73"/>
      <c r="X73"/>
      <c r="Y73"/>
      <c r="Z73"/>
      <c r="AA73"/>
      <c r="AB73"/>
      <c r="AC73"/>
      <c r="AD73"/>
      <c r="AE73"/>
      <c r="AF73"/>
    </row>
    <row r="74" spans="1:32" s="7" customFormat="1" x14ac:dyDescent="0.45">
      <c r="A74" t="s">
        <v>46</v>
      </c>
      <c r="B74" t="s">
        <v>49</v>
      </c>
      <c r="C74" t="s">
        <v>10</v>
      </c>
      <c r="D74">
        <v>1</v>
      </c>
      <c r="E74"/>
      <c r="F74"/>
      <c r="G74"/>
      <c r="H74"/>
      <c r="I74"/>
      <c r="J74"/>
      <c r="K74"/>
      <c r="L74"/>
      <c r="M74"/>
      <c r="N74"/>
      <c r="O74"/>
      <c r="P74"/>
      <c r="Q74"/>
      <c r="R74"/>
      <c r="S74"/>
      <c r="T74"/>
      <c r="U74"/>
      <c r="V74"/>
      <c r="W74"/>
      <c r="X74"/>
      <c r="Y74"/>
      <c r="Z74"/>
      <c r="AA74"/>
      <c r="AB74"/>
      <c r="AC74"/>
      <c r="AD74"/>
      <c r="AE74"/>
      <c r="AF74"/>
    </row>
    <row r="75" spans="1:32" s="7" customFormat="1" x14ac:dyDescent="0.45">
      <c r="A75" t="s">
        <v>46</v>
      </c>
      <c r="B75" t="s">
        <v>50</v>
      </c>
      <c r="C75" t="s">
        <v>103</v>
      </c>
      <c r="D75">
        <v>0</v>
      </c>
      <c r="E75" t="s">
        <v>78</v>
      </c>
      <c r="F75">
        <v>1E-4</v>
      </c>
      <c r="G75"/>
      <c r="H75"/>
      <c r="I75"/>
      <c r="J75"/>
      <c r="K75"/>
      <c r="L75"/>
      <c r="M75"/>
      <c r="N75"/>
      <c r="O75"/>
      <c r="P75"/>
      <c r="Q75"/>
      <c r="R75"/>
      <c r="S75"/>
      <c r="T75"/>
      <c r="U75"/>
      <c r="V75"/>
      <c r="W75"/>
      <c r="X75"/>
      <c r="Y75"/>
      <c r="Z75"/>
      <c r="AA75"/>
      <c r="AB75"/>
      <c r="AC75"/>
      <c r="AD75"/>
      <c r="AE75"/>
      <c r="AF75"/>
    </row>
    <row r="76" spans="1:32" s="7" customFormat="1" x14ac:dyDescent="0.45">
      <c r="A76" t="s">
        <v>46</v>
      </c>
      <c r="B76" t="s">
        <v>51</v>
      </c>
      <c r="C76" t="s">
        <v>150</v>
      </c>
      <c r="D76">
        <v>0</v>
      </c>
      <c r="E76" t="s">
        <v>154</v>
      </c>
      <c r="F76">
        <v>0</v>
      </c>
      <c r="G76" t="s">
        <v>153</v>
      </c>
      <c r="H76">
        <v>0</v>
      </c>
      <c r="I76"/>
      <c r="J76"/>
      <c r="K76"/>
      <c r="L76"/>
      <c r="M76"/>
      <c r="N76"/>
      <c r="O76"/>
      <c r="P76"/>
      <c r="Q76"/>
      <c r="R76"/>
      <c r="S76"/>
      <c r="T76"/>
      <c r="U76"/>
      <c r="V76"/>
      <c r="W76"/>
      <c r="X76"/>
      <c r="Y76"/>
      <c r="Z76"/>
      <c r="AA76"/>
      <c r="AB76"/>
      <c r="AC76"/>
      <c r="AD76"/>
      <c r="AE76"/>
      <c r="AF76"/>
    </row>
    <row r="77" spans="1:32" s="7" customFormat="1" x14ac:dyDescent="0.45">
      <c r="A77" t="s">
        <v>59</v>
      </c>
      <c r="B77" t="s">
        <v>48</v>
      </c>
      <c r="C77" t="s">
        <v>42</v>
      </c>
      <c r="D77">
        <v>1</v>
      </c>
      <c r="E77" t="s">
        <v>92</v>
      </c>
      <c r="F77">
        <v>0</v>
      </c>
      <c r="G77" t="s">
        <v>90</v>
      </c>
      <c r="H77">
        <v>30</v>
      </c>
      <c r="I77" t="s">
        <v>91</v>
      </c>
      <c r="J77">
        <v>2</v>
      </c>
      <c r="K77"/>
      <c r="L77"/>
      <c r="M77"/>
      <c r="N77"/>
      <c r="O77"/>
      <c r="P77"/>
      <c r="Q77"/>
      <c r="R77"/>
      <c r="S77"/>
      <c r="T77"/>
      <c r="U77"/>
      <c r="V77"/>
      <c r="W77"/>
      <c r="X77"/>
      <c r="Y77"/>
      <c r="Z77"/>
      <c r="AA77"/>
      <c r="AB77"/>
      <c r="AC77"/>
      <c r="AD77"/>
      <c r="AE77"/>
      <c r="AF77"/>
    </row>
    <row r="78" spans="1:32" s="7" customFormat="1" x14ac:dyDescent="0.45">
      <c r="A78" t="s">
        <v>59</v>
      </c>
      <c r="B78" t="s">
        <v>49</v>
      </c>
      <c r="C78" t="s">
        <v>9</v>
      </c>
      <c r="D78">
        <v>1</v>
      </c>
      <c r="E78"/>
      <c r="F78"/>
      <c r="G78"/>
      <c r="H78"/>
      <c r="I78"/>
      <c r="J78"/>
      <c r="K78"/>
      <c r="L78"/>
      <c r="M78"/>
      <c r="N78"/>
      <c r="O78"/>
      <c r="P78"/>
      <c r="Q78"/>
      <c r="R78"/>
      <c r="S78"/>
      <c r="T78"/>
      <c r="U78"/>
      <c r="V78"/>
      <c r="W78"/>
      <c r="X78"/>
      <c r="Y78"/>
      <c r="Z78"/>
      <c r="AA78"/>
      <c r="AB78"/>
      <c r="AC78"/>
      <c r="AD78"/>
      <c r="AE78"/>
      <c r="AF78"/>
    </row>
    <row r="79" spans="1:32" s="7" customFormat="1" x14ac:dyDescent="0.45">
      <c r="A79" t="s">
        <v>59</v>
      </c>
      <c r="B79" t="s">
        <v>50</v>
      </c>
      <c r="C79" t="s">
        <v>103</v>
      </c>
      <c r="D79">
        <v>0</v>
      </c>
      <c r="E79" t="s">
        <v>78</v>
      </c>
      <c r="F79">
        <v>1E-4</v>
      </c>
      <c r="G79"/>
      <c r="H79"/>
      <c r="I79"/>
      <c r="J79"/>
      <c r="K79"/>
      <c r="L79"/>
      <c r="M79"/>
      <c r="N79"/>
      <c r="O79"/>
      <c r="P79"/>
      <c r="Q79"/>
      <c r="R79"/>
      <c r="S79"/>
      <c r="T79"/>
      <c r="U79"/>
      <c r="V79"/>
      <c r="W79"/>
      <c r="X79"/>
      <c r="Y79"/>
      <c r="Z79"/>
      <c r="AA79"/>
      <c r="AB79"/>
      <c r="AC79"/>
      <c r="AD79"/>
      <c r="AE79"/>
      <c r="AF79"/>
    </row>
    <row r="80" spans="1:32" s="7" customFormat="1" x14ac:dyDescent="0.45">
      <c r="A80" t="s">
        <v>59</v>
      </c>
      <c r="B80" t="s">
        <v>51</v>
      </c>
      <c r="C80" t="s">
        <v>154</v>
      </c>
      <c r="D80">
        <v>0</v>
      </c>
      <c r="E80"/>
      <c r="F80"/>
      <c r="G80"/>
      <c r="H80"/>
      <c r="I80"/>
      <c r="J80"/>
      <c r="K80"/>
      <c r="L80"/>
      <c r="M80"/>
      <c r="N80"/>
      <c r="O80"/>
      <c r="P80"/>
      <c r="Q80"/>
      <c r="R80"/>
      <c r="S80"/>
      <c r="T80"/>
      <c r="U80"/>
      <c r="V80"/>
      <c r="W80"/>
      <c r="X80"/>
      <c r="Y80"/>
      <c r="Z80"/>
      <c r="AA80"/>
      <c r="AB80"/>
      <c r="AC80"/>
      <c r="AD80"/>
      <c r="AE80"/>
      <c r="AF80"/>
    </row>
    <row r="81" spans="1:32" s="7" customFormat="1" x14ac:dyDescent="0.45">
      <c r="A81" t="s">
        <v>124</v>
      </c>
      <c r="B81" t="s">
        <v>48</v>
      </c>
      <c r="C81" t="s">
        <v>42</v>
      </c>
      <c r="D81">
        <v>1</v>
      </c>
      <c r="E81" t="s">
        <v>92</v>
      </c>
      <c r="F81">
        <v>0</v>
      </c>
      <c r="G81" t="s">
        <v>90</v>
      </c>
      <c r="H81">
        <v>100</v>
      </c>
      <c r="I81" t="s">
        <v>91</v>
      </c>
      <c r="J81">
        <v>2</v>
      </c>
      <c r="K81"/>
      <c r="L81"/>
      <c r="M81"/>
      <c r="N81"/>
      <c r="O81"/>
      <c r="P81"/>
      <c r="Q81"/>
      <c r="R81"/>
      <c r="S81"/>
      <c r="T81"/>
      <c r="U81"/>
      <c r="V81"/>
      <c r="W81"/>
      <c r="X81"/>
      <c r="Y81"/>
      <c r="Z81"/>
      <c r="AA81"/>
      <c r="AB81"/>
      <c r="AC81"/>
      <c r="AD81"/>
      <c r="AE81"/>
      <c r="AF81"/>
    </row>
    <row r="82" spans="1:32" s="7" customFormat="1" x14ac:dyDescent="0.45">
      <c r="A82" t="s">
        <v>124</v>
      </c>
      <c r="B82" t="s">
        <v>49</v>
      </c>
      <c r="C82" t="s">
        <v>6</v>
      </c>
      <c r="D82">
        <v>1</v>
      </c>
      <c r="E82"/>
      <c r="F82"/>
      <c r="G82"/>
      <c r="H82"/>
      <c r="I82"/>
      <c r="J82"/>
      <c r="K82"/>
      <c r="L82"/>
      <c r="M82"/>
      <c r="N82"/>
      <c r="O82"/>
      <c r="P82"/>
      <c r="Q82"/>
      <c r="R82"/>
      <c r="S82"/>
      <c r="T82"/>
      <c r="U82"/>
      <c r="V82"/>
      <c r="W82"/>
      <c r="X82"/>
      <c r="Y82"/>
      <c r="Z82"/>
      <c r="AA82"/>
      <c r="AB82"/>
      <c r="AC82"/>
      <c r="AD82"/>
      <c r="AE82"/>
      <c r="AF82"/>
    </row>
    <row r="83" spans="1:32" s="7" customFormat="1" x14ac:dyDescent="0.45">
      <c r="A83" t="s">
        <v>124</v>
      </c>
      <c r="B83" t="s">
        <v>50</v>
      </c>
      <c r="C83" t="s">
        <v>103</v>
      </c>
      <c r="D83">
        <v>0</v>
      </c>
      <c r="E83" t="s">
        <v>58</v>
      </c>
      <c r="F83">
        <v>0</v>
      </c>
      <c r="G83" t="s">
        <v>78</v>
      </c>
      <c r="H83">
        <v>1E-4</v>
      </c>
      <c r="I83" t="s">
        <v>105</v>
      </c>
      <c r="J83">
        <v>0</v>
      </c>
      <c r="K83"/>
      <c r="L83"/>
      <c r="M83"/>
      <c r="N83"/>
      <c r="O83"/>
      <c r="P83"/>
      <c r="Q83"/>
      <c r="R83"/>
      <c r="S83"/>
      <c r="T83"/>
      <c r="U83"/>
      <c r="V83"/>
      <c r="W83"/>
      <c r="X83"/>
      <c r="Y83"/>
      <c r="Z83"/>
      <c r="AA83"/>
      <c r="AB83"/>
      <c r="AC83"/>
      <c r="AD83"/>
      <c r="AE83"/>
      <c r="AF83"/>
    </row>
    <row r="84" spans="1:32" x14ac:dyDescent="0.45">
      <c r="A84" t="s">
        <v>124</v>
      </c>
      <c r="B84" t="s">
        <v>51</v>
      </c>
      <c r="C84" t="s">
        <v>154</v>
      </c>
      <c r="D84">
        <v>0</v>
      </c>
      <c r="E84" t="s">
        <v>153</v>
      </c>
      <c r="F84">
        <v>0</v>
      </c>
      <c r="G84" t="s">
        <v>150</v>
      </c>
      <c r="H84">
        <v>0</v>
      </c>
      <c r="I84" t="s">
        <v>87</v>
      </c>
      <c r="J84">
        <v>0</v>
      </c>
      <c r="K84"/>
      <c r="L84"/>
      <c r="M84"/>
      <c r="N84"/>
      <c r="O84"/>
    </row>
    <row r="85" spans="1:32" x14ac:dyDescent="0.45">
      <c r="A85" t="s">
        <v>11</v>
      </c>
      <c r="B85"/>
      <c r="C85"/>
      <c r="D85"/>
      <c r="E85"/>
      <c r="F85"/>
      <c r="G85"/>
      <c r="H85"/>
      <c r="I85"/>
      <c r="J85"/>
      <c r="K85"/>
      <c r="L85"/>
      <c r="M85"/>
      <c r="N85"/>
      <c r="O85"/>
    </row>
    <row r="86" spans="1:32" x14ac:dyDescent="0.45">
      <c r="A86" t="s">
        <v>11</v>
      </c>
      <c r="B86"/>
      <c r="C86"/>
      <c r="D86"/>
      <c r="E86"/>
      <c r="F86"/>
      <c r="G86"/>
      <c r="H86"/>
      <c r="I86"/>
      <c r="J86"/>
      <c r="K86"/>
      <c r="L86"/>
      <c r="M86"/>
      <c r="N86"/>
      <c r="O86"/>
    </row>
    <row r="87" spans="1:32" x14ac:dyDescent="0.45">
      <c r="A87" t="s">
        <v>11</v>
      </c>
      <c r="B87"/>
      <c r="C87"/>
      <c r="D87"/>
      <c r="E87"/>
      <c r="F87"/>
      <c r="G87"/>
      <c r="H87"/>
      <c r="I87"/>
      <c r="J87"/>
      <c r="K87"/>
      <c r="L87"/>
      <c r="M87"/>
      <c r="N87"/>
      <c r="O87"/>
    </row>
    <row r="88" spans="1:32" x14ac:dyDescent="0.45">
      <c r="A88" t="s">
        <v>11</v>
      </c>
      <c r="B88"/>
      <c r="C88"/>
      <c r="D88"/>
      <c r="E88"/>
      <c r="F88"/>
      <c r="G88"/>
      <c r="H88"/>
      <c r="I88"/>
      <c r="J88"/>
      <c r="K88"/>
      <c r="L88"/>
      <c r="M88"/>
      <c r="N88"/>
      <c r="O88"/>
    </row>
    <row r="89" spans="1:32" x14ac:dyDescent="0.45">
      <c r="A89" t="s">
        <v>11</v>
      </c>
      <c r="B89"/>
      <c r="C89"/>
      <c r="D89"/>
      <c r="E89"/>
      <c r="F89"/>
      <c r="G89"/>
      <c r="H89"/>
      <c r="I89"/>
      <c r="J89"/>
      <c r="K89"/>
      <c r="L89"/>
      <c r="M89"/>
      <c r="N89"/>
      <c r="O89"/>
    </row>
    <row r="90" spans="1:32" x14ac:dyDescent="0.45">
      <c r="A90" s="1" t="s">
        <v>11</v>
      </c>
    </row>
    <row r="91" spans="1:32" x14ac:dyDescent="0.45">
      <c r="A91" s="1" t="s">
        <v>11</v>
      </c>
    </row>
    <row r="92" spans="1:32" x14ac:dyDescent="0.45">
      <c r="A92" s="1" t="s">
        <v>11</v>
      </c>
    </row>
    <row r="93" spans="1:32" x14ac:dyDescent="0.45">
      <c r="A93" s="1" t="s">
        <v>11</v>
      </c>
    </row>
    <row r="94" spans="1:32" x14ac:dyDescent="0.45">
      <c r="A94" s="1" t="s">
        <v>11</v>
      </c>
    </row>
    <row r="95" spans="1:32" x14ac:dyDescent="0.45">
      <c r="A95" s="1" t="s">
        <v>11</v>
      </c>
    </row>
    <row r="96" spans="1:32" x14ac:dyDescent="0.45">
      <c r="A96" s="1" t="s">
        <v>11</v>
      </c>
    </row>
    <row r="97" spans="1:1" x14ac:dyDescent="0.45">
      <c r="A97" s="1" t="s">
        <v>11</v>
      </c>
    </row>
    <row r="98" spans="1:1" x14ac:dyDescent="0.45">
      <c r="A98" s="1" t="s">
        <v>11</v>
      </c>
    </row>
    <row r="99" spans="1:1" x14ac:dyDescent="0.45">
      <c r="A99" s="1" t="s">
        <v>11</v>
      </c>
    </row>
    <row r="100" spans="1:1" x14ac:dyDescent="0.45">
      <c r="A100" s="1" t="s">
        <v>11</v>
      </c>
    </row>
    <row r="101" spans="1:1" x14ac:dyDescent="0.45">
      <c r="A101" s="1" t="s">
        <v>11</v>
      </c>
    </row>
    <row r="102" spans="1:1" x14ac:dyDescent="0.45">
      <c r="A102" s="1" t="s">
        <v>11</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P103"/>
  <sheetViews>
    <sheetView topLeftCell="C47" zoomScale="90" zoomScaleNormal="90" workbookViewId="0">
      <selection activeCell="K60" sqref="K60"/>
    </sheetView>
  </sheetViews>
  <sheetFormatPr baseColWidth="10" defaultRowHeight="14.25" x14ac:dyDescent="0.45"/>
  <cols>
    <col min="1" max="1" width="10.9296875" style="1"/>
    <col min="2" max="2" width="23.796875" style="1" customWidth="1"/>
    <col min="3" max="3" width="10.9296875" style="2"/>
    <col min="4" max="4" width="10.9296875" style="1"/>
    <col min="5" max="5" width="13.46484375" style="1" customWidth="1"/>
    <col min="6" max="6" width="13.796875" style="1" customWidth="1"/>
    <col min="7" max="15" width="10.9296875" style="1"/>
  </cols>
  <sheetData>
    <row r="1" spans="1:16" s="7" customFormat="1" x14ac:dyDescent="0.45">
      <c r="A1" s="13" t="s">
        <v>119</v>
      </c>
      <c r="B1" s="11"/>
      <c r="C1" s="12"/>
      <c r="D1" s="11"/>
      <c r="E1" s="11"/>
      <c r="F1" s="11"/>
      <c r="G1" s="11"/>
      <c r="H1" s="11"/>
      <c r="I1" s="11"/>
      <c r="J1" s="11"/>
      <c r="K1" s="11"/>
      <c r="L1" s="11"/>
      <c r="M1" s="11"/>
      <c r="N1" s="11"/>
      <c r="O1" s="11"/>
    </row>
    <row r="2" spans="1:16" s="7" customFormat="1" x14ac:dyDescent="0.45">
      <c r="A2" s="11" t="s">
        <v>1</v>
      </c>
      <c r="B2" s="11" t="s">
        <v>2</v>
      </c>
      <c r="C2" s="12">
        <v>17.5</v>
      </c>
      <c r="D2" s="11" t="s">
        <v>64</v>
      </c>
      <c r="E2" s="11">
        <v>0.5</v>
      </c>
      <c r="F2" s="11" t="s">
        <v>69</v>
      </c>
      <c r="G2" s="11">
        <v>0.5</v>
      </c>
      <c r="H2" s="11" t="s">
        <v>95</v>
      </c>
      <c r="I2" s="11">
        <v>1</v>
      </c>
      <c r="N2" s="11"/>
      <c r="O2" s="11"/>
    </row>
    <row r="3" spans="1:16" s="7" customFormat="1" x14ac:dyDescent="0.45">
      <c r="A3" s="11" t="s">
        <v>1</v>
      </c>
      <c r="B3" s="11" t="s">
        <v>97</v>
      </c>
      <c r="C3" s="12">
        <v>1</v>
      </c>
      <c r="D3" s="7" t="s">
        <v>158</v>
      </c>
      <c r="E3" s="11">
        <v>1</v>
      </c>
      <c r="F3" s="11" t="s">
        <v>162</v>
      </c>
      <c r="G3" s="11">
        <v>0.5</v>
      </c>
      <c r="H3" s="11"/>
      <c r="I3" s="11"/>
      <c r="J3" s="11"/>
      <c r="K3" s="11"/>
      <c r="L3" s="11"/>
      <c r="M3" s="14"/>
      <c r="N3" s="11"/>
      <c r="O3" s="11"/>
    </row>
    <row r="4" spans="1:16" s="7" customFormat="1" x14ac:dyDescent="0.45">
      <c r="A4" s="13" t="s">
        <v>0</v>
      </c>
      <c r="B4" s="11"/>
      <c r="C4" s="12"/>
      <c r="D4" s="11"/>
      <c r="E4" s="11"/>
      <c r="F4" s="11"/>
      <c r="G4" s="11"/>
      <c r="H4" s="11"/>
      <c r="I4" s="11"/>
      <c r="J4" s="11"/>
      <c r="K4" s="11"/>
      <c r="L4" s="11"/>
      <c r="M4" s="11"/>
      <c r="N4" s="11"/>
      <c r="O4" s="11"/>
    </row>
    <row r="5" spans="1:16" x14ac:dyDescent="0.45">
      <c r="A5" s="1" t="s">
        <v>133</v>
      </c>
      <c r="B5" s="1" t="s">
        <v>128</v>
      </c>
      <c r="D5" s="1" t="s">
        <v>129</v>
      </c>
      <c r="E5" s="2">
        <f>1500*1500*400/(E2^3)</f>
        <v>7200000000</v>
      </c>
    </row>
    <row r="6" spans="1:16" s="7" customFormat="1" x14ac:dyDescent="0.45">
      <c r="A6" s="11" t="s">
        <v>5</v>
      </c>
      <c r="B6" s="11" t="s">
        <v>6</v>
      </c>
      <c r="C6" s="12">
        <v>1</v>
      </c>
      <c r="D6" s="11" t="s">
        <v>7</v>
      </c>
      <c r="E6" s="12">
        <v>1</v>
      </c>
      <c r="F6" s="11" t="s">
        <v>8</v>
      </c>
      <c r="G6" s="12">
        <v>1</v>
      </c>
      <c r="H6" s="11" t="s">
        <v>9</v>
      </c>
      <c r="I6" s="12">
        <v>1</v>
      </c>
      <c r="J6" s="11" t="s">
        <v>10</v>
      </c>
      <c r="K6" s="12">
        <v>1</v>
      </c>
      <c r="L6" s="11"/>
      <c r="M6" s="11"/>
      <c r="N6" s="11"/>
      <c r="O6" s="11"/>
    </row>
    <row r="7" spans="1:16" s="7" customFormat="1" x14ac:dyDescent="0.45">
      <c r="A7" s="11" t="s">
        <v>68</v>
      </c>
      <c r="F7" s="11"/>
      <c r="G7" s="11"/>
      <c r="H7" s="11"/>
      <c r="I7" s="11"/>
      <c r="J7" s="11"/>
      <c r="K7" s="11"/>
      <c r="L7" s="11"/>
      <c r="M7" s="11"/>
      <c r="N7" s="11"/>
      <c r="O7" s="11"/>
    </row>
    <row r="8" spans="1:16" s="7" customFormat="1" x14ac:dyDescent="0.45">
      <c r="A8" s="11" t="s">
        <v>93</v>
      </c>
      <c r="B8" s="11"/>
      <c r="C8" s="12"/>
      <c r="D8" s="11"/>
      <c r="E8" s="12"/>
      <c r="F8" s="11"/>
      <c r="G8" s="12"/>
      <c r="H8" s="11"/>
      <c r="I8" s="11"/>
      <c r="J8" s="11"/>
      <c r="K8" s="11"/>
      <c r="L8" s="11"/>
      <c r="M8" s="11"/>
      <c r="N8" s="11"/>
      <c r="O8" s="11"/>
    </row>
    <row r="9" spans="1:16" s="7" customFormat="1" x14ac:dyDescent="0.45">
      <c r="A9" s="11" t="s">
        <v>134</v>
      </c>
      <c r="B9" s="11" t="s">
        <v>11</v>
      </c>
      <c r="C9" s="12"/>
      <c r="D9" s="11"/>
      <c r="E9" s="12"/>
      <c r="F9" s="11"/>
      <c r="G9" s="12"/>
      <c r="H9" s="11"/>
      <c r="I9" s="11"/>
      <c r="J9" s="11"/>
      <c r="K9" s="11"/>
      <c r="L9" s="11"/>
      <c r="M9" s="11"/>
      <c r="N9" s="11"/>
      <c r="O9" s="11"/>
    </row>
    <row r="10" spans="1:16" x14ac:dyDescent="0.45">
      <c r="A10" s="15" t="s">
        <v>120</v>
      </c>
    </row>
    <row r="11" spans="1:16" x14ac:dyDescent="0.45">
      <c r="A11" s="1" t="s">
        <v>132</v>
      </c>
      <c r="B11" s="1" t="s">
        <v>130</v>
      </c>
      <c r="C11" s="2">
        <f>1500*400/E2^2</f>
        <v>2400000</v>
      </c>
      <c r="D11" s="1" t="s">
        <v>131</v>
      </c>
      <c r="E11" s="1">
        <f>1500*400*1000/E2^3</f>
        <v>4800000000</v>
      </c>
    </row>
    <row r="12" spans="1:16" s="7" customFormat="1" x14ac:dyDescent="0.45">
      <c r="A12" s="11" t="s">
        <v>117</v>
      </c>
      <c r="B12" s="11" t="s">
        <v>150</v>
      </c>
      <c r="C12" s="12">
        <v>0</v>
      </c>
      <c r="D12" s="11" t="s">
        <v>151</v>
      </c>
      <c r="E12" s="12">
        <v>0</v>
      </c>
      <c r="F12" s="11" t="s">
        <v>153</v>
      </c>
      <c r="G12" s="12">
        <v>0</v>
      </c>
      <c r="H12" s="7" t="s">
        <v>135</v>
      </c>
      <c r="I12" s="7">
        <v>0</v>
      </c>
      <c r="J12" s="7" t="s">
        <v>136</v>
      </c>
      <c r="K12" s="7">
        <v>0</v>
      </c>
      <c r="L12" s="11" t="s">
        <v>154</v>
      </c>
      <c r="M12" s="11">
        <v>0</v>
      </c>
      <c r="N12" s="11"/>
      <c r="O12" s="11"/>
    </row>
    <row r="13" spans="1:16" s="7" customFormat="1" x14ac:dyDescent="0.45">
      <c r="A13" s="11" t="s">
        <v>118</v>
      </c>
      <c r="B13" s="11"/>
      <c r="C13" s="12"/>
      <c r="D13" s="11"/>
      <c r="E13" s="12"/>
      <c r="F13" s="11"/>
      <c r="G13" s="12"/>
      <c r="H13" s="11"/>
      <c r="I13" s="11"/>
      <c r="J13" s="11"/>
      <c r="K13" s="11"/>
      <c r="L13" s="11"/>
      <c r="M13" s="11"/>
      <c r="N13" s="11"/>
      <c r="O13" s="11"/>
    </row>
    <row r="14" spans="1:16" s="7" customFormat="1" x14ac:dyDescent="0.45">
      <c r="A14" s="11" t="s">
        <v>121</v>
      </c>
      <c r="B14" s="11" t="s">
        <v>150</v>
      </c>
      <c r="C14" s="12">
        <v>0.5</v>
      </c>
      <c r="D14" s="11" t="s">
        <v>151</v>
      </c>
      <c r="E14" s="12">
        <v>0.5</v>
      </c>
      <c r="F14" s="11" t="s">
        <v>153</v>
      </c>
      <c r="G14" s="12">
        <v>0.5</v>
      </c>
      <c r="H14" s="11" t="s">
        <v>154</v>
      </c>
      <c r="I14" s="7">
        <v>0.5</v>
      </c>
      <c r="J14" s="11"/>
      <c r="L14" s="11"/>
      <c r="N14" s="11"/>
      <c r="P14" s="11"/>
    </row>
    <row r="15" spans="1:16" s="7" customFormat="1" x14ac:dyDescent="0.45">
      <c r="A15" s="11" t="s">
        <v>125</v>
      </c>
      <c r="B15" s="11" t="s">
        <v>11</v>
      </c>
      <c r="C15" s="12"/>
      <c r="D15" s="11"/>
      <c r="E15" s="11"/>
      <c r="F15" s="11"/>
      <c r="G15" s="11"/>
      <c r="H15" s="11"/>
      <c r="I15" s="11"/>
      <c r="J15" s="11"/>
      <c r="K15" s="11"/>
      <c r="L15" s="11"/>
      <c r="M15" s="11"/>
      <c r="N15" s="11"/>
      <c r="O15" s="11"/>
    </row>
    <row r="16" spans="1:16" s="7" customFormat="1" x14ac:dyDescent="0.45">
      <c r="A16" s="11" t="s">
        <v>11</v>
      </c>
      <c r="B16" s="11"/>
      <c r="C16" s="12"/>
      <c r="D16" s="11"/>
      <c r="E16" s="11"/>
      <c r="F16" s="11"/>
      <c r="G16" s="11"/>
      <c r="H16" s="11"/>
      <c r="I16" s="11"/>
      <c r="J16" s="11"/>
      <c r="K16" s="11"/>
      <c r="L16" s="11"/>
      <c r="M16" s="11"/>
      <c r="N16" s="11"/>
      <c r="O16" s="11"/>
    </row>
    <row r="17" spans="1:15" s="7" customFormat="1" x14ac:dyDescent="0.45">
      <c r="A17" s="13" t="s">
        <v>12</v>
      </c>
      <c r="B17" s="11"/>
      <c r="C17" s="12"/>
      <c r="D17" s="11"/>
      <c r="E17" s="11"/>
      <c r="F17" s="11"/>
      <c r="G17" s="11"/>
      <c r="H17" s="11"/>
      <c r="I17" s="11"/>
      <c r="J17" s="11"/>
      <c r="K17" s="11"/>
      <c r="L17" s="11"/>
      <c r="M17" s="11"/>
      <c r="N17" s="11"/>
      <c r="O17" s="11"/>
    </row>
    <row r="18" spans="1:15" x14ac:dyDescent="0.45">
      <c r="A18" s="1" t="s">
        <v>126</v>
      </c>
      <c r="B18" s="1" t="s">
        <v>156</v>
      </c>
    </row>
    <row r="19" spans="1:15" x14ac:dyDescent="0.45">
      <c r="A19" s="1" t="s">
        <v>127</v>
      </c>
      <c r="B19" s="1" t="s">
        <v>11</v>
      </c>
    </row>
    <row r="20" spans="1:15" s="7" customFormat="1" x14ac:dyDescent="0.45">
      <c r="A20" s="11" t="s">
        <v>13</v>
      </c>
      <c r="B20" s="11" t="s">
        <v>14</v>
      </c>
      <c r="C20" s="12">
        <v>1</v>
      </c>
      <c r="D20" s="7" t="s">
        <v>140</v>
      </c>
      <c r="E20" s="7">
        <v>0</v>
      </c>
    </row>
    <row r="21" spans="1:15" s="7" customFormat="1" x14ac:dyDescent="0.45">
      <c r="A21" s="11" t="s">
        <v>13</v>
      </c>
      <c r="B21" s="11" t="s">
        <v>19</v>
      </c>
      <c r="C21" s="7">
        <v>1</v>
      </c>
      <c r="D21" s="11" t="s">
        <v>15</v>
      </c>
      <c r="E21" s="12">
        <v>0</v>
      </c>
      <c r="F21" s="11" t="s">
        <v>141</v>
      </c>
      <c r="G21" s="7">
        <v>0</v>
      </c>
      <c r="H21" s="11"/>
      <c r="I21" s="11"/>
      <c r="J21" s="11"/>
      <c r="K21" s="11"/>
      <c r="L21" s="11"/>
      <c r="M21" s="11"/>
      <c r="N21" s="11"/>
      <c r="O21" s="11"/>
    </row>
    <row r="22" spans="1:15" s="7" customFormat="1" x14ac:dyDescent="0.45">
      <c r="A22" s="11" t="s">
        <v>13</v>
      </c>
      <c r="B22" s="11" t="s">
        <v>71</v>
      </c>
      <c r="C22" s="12">
        <v>0</v>
      </c>
      <c r="D22" s="7" t="s">
        <v>60</v>
      </c>
      <c r="E22" s="7">
        <v>1</v>
      </c>
      <c r="F22" s="11" t="s">
        <v>16</v>
      </c>
      <c r="G22" s="12">
        <v>0</v>
      </c>
      <c r="H22" s="7" t="s">
        <v>142</v>
      </c>
      <c r="I22" s="7">
        <v>0</v>
      </c>
      <c r="J22" s="11"/>
      <c r="K22" s="11"/>
      <c r="L22" s="11"/>
      <c r="M22" s="11"/>
      <c r="N22" s="11"/>
      <c r="O22" s="11"/>
    </row>
    <row r="23" spans="1:15" s="7" customFormat="1" x14ac:dyDescent="0.45">
      <c r="A23" s="11" t="s">
        <v>13</v>
      </c>
      <c r="B23" s="11" t="s">
        <v>20</v>
      </c>
      <c r="C23" s="12">
        <v>0</v>
      </c>
      <c r="D23" s="7" t="s">
        <v>72</v>
      </c>
      <c r="E23" s="7">
        <v>0</v>
      </c>
      <c r="F23" s="7" t="s">
        <v>74</v>
      </c>
      <c r="G23" s="7">
        <v>1</v>
      </c>
      <c r="H23" s="11" t="s">
        <v>17</v>
      </c>
      <c r="I23" s="12">
        <v>0</v>
      </c>
      <c r="J23" s="7" t="s">
        <v>143</v>
      </c>
      <c r="K23" s="7">
        <v>0</v>
      </c>
      <c r="L23" s="11"/>
      <c r="M23" s="11"/>
      <c r="N23" s="11"/>
      <c r="O23" s="11"/>
    </row>
    <row r="24" spans="1:15" s="7" customFormat="1" x14ac:dyDescent="0.45">
      <c r="A24" s="11" t="s">
        <v>13</v>
      </c>
      <c r="B24" s="11" t="s">
        <v>70</v>
      </c>
      <c r="C24" s="12">
        <v>0</v>
      </c>
      <c r="D24" s="7" t="s">
        <v>73</v>
      </c>
      <c r="E24" s="7">
        <v>0</v>
      </c>
      <c r="F24" s="7" t="s">
        <v>21</v>
      </c>
      <c r="G24" s="7">
        <v>0</v>
      </c>
      <c r="H24" s="7" t="s">
        <v>75</v>
      </c>
      <c r="I24" s="7">
        <v>1</v>
      </c>
      <c r="J24" s="11" t="s">
        <v>18</v>
      </c>
      <c r="K24" s="12">
        <v>0</v>
      </c>
      <c r="M24" s="11"/>
      <c r="N24" s="11"/>
      <c r="O24" s="11"/>
    </row>
    <row r="25" spans="1:15" s="7" customFormat="1" x14ac:dyDescent="0.45">
      <c r="A25" s="11" t="s">
        <v>11</v>
      </c>
      <c r="B25" s="11"/>
      <c r="C25" s="12"/>
      <c r="J25" s="11"/>
      <c r="K25" s="12"/>
      <c r="M25" s="11"/>
      <c r="N25" s="11"/>
      <c r="O25" s="11"/>
    </row>
    <row r="26" spans="1:15" s="7" customFormat="1" x14ac:dyDescent="0.45">
      <c r="A26" s="11" t="s">
        <v>11</v>
      </c>
      <c r="B26" s="11"/>
      <c r="C26" s="12"/>
      <c r="J26" s="11"/>
      <c r="K26" s="12"/>
      <c r="M26" s="11"/>
      <c r="N26" s="11"/>
      <c r="O26" s="11"/>
    </row>
    <row r="27" spans="1:15" x14ac:dyDescent="0.45">
      <c r="A27" s="11" t="s">
        <v>11</v>
      </c>
    </row>
    <row r="28" spans="1:15" s="7" customFormat="1" x14ac:dyDescent="0.45">
      <c r="A28" s="13" t="s">
        <v>88</v>
      </c>
      <c r="B28" s="11"/>
      <c r="C28" s="12"/>
      <c r="D28" s="11"/>
      <c r="E28" s="11"/>
      <c r="F28" s="11"/>
      <c r="G28" s="11"/>
      <c r="H28" s="11"/>
      <c r="I28" s="11"/>
      <c r="J28" s="11"/>
      <c r="K28" s="11"/>
      <c r="L28" s="11"/>
      <c r="M28" s="11"/>
      <c r="N28" s="11"/>
      <c r="O28" s="11"/>
    </row>
    <row r="29" spans="1:15" s="7" customFormat="1" x14ac:dyDescent="0.45">
      <c r="A29" s="11" t="s">
        <v>31</v>
      </c>
      <c r="B29" s="11" t="s">
        <v>6</v>
      </c>
      <c r="C29" s="12" t="s">
        <v>7</v>
      </c>
      <c r="D29" s="11" t="s">
        <v>8</v>
      </c>
      <c r="E29" s="11" t="s">
        <v>9</v>
      </c>
      <c r="F29" s="11" t="s">
        <v>10</v>
      </c>
      <c r="G29" s="11"/>
      <c r="H29" s="11"/>
      <c r="I29" s="11"/>
      <c r="J29" s="11"/>
      <c r="K29" s="11"/>
      <c r="L29" s="11"/>
      <c r="M29" s="11"/>
      <c r="N29" s="11"/>
      <c r="O29" s="11"/>
    </row>
    <row r="30" spans="1:15" s="7" customFormat="1" x14ac:dyDescent="0.45">
      <c r="A30" s="11" t="s">
        <v>32</v>
      </c>
      <c r="B30" s="11" t="s">
        <v>6</v>
      </c>
      <c r="C30" s="12">
        <v>1</v>
      </c>
      <c r="D30" s="11" t="s">
        <v>7</v>
      </c>
      <c r="E30" s="12">
        <v>1</v>
      </c>
      <c r="F30" s="11" t="s">
        <v>8</v>
      </c>
      <c r="G30" s="12">
        <v>1</v>
      </c>
      <c r="H30" s="11" t="s">
        <v>9</v>
      </c>
      <c r="I30" s="12">
        <v>1</v>
      </c>
      <c r="J30" s="11" t="s">
        <v>10</v>
      </c>
      <c r="K30" s="12">
        <v>1</v>
      </c>
      <c r="L30" s="11"/>
      <c r="M30" s="11"/>
      <c r="N30" s="11"/>
      <c r="O30" s="11"/>
    </row>
    <row r="31" spans="1:15" s="7" customFormat="1" x14ac:dyDescent="0.45">
      <c r="A31" s="11" t="s">
        <v>122</v>
      </c>
      <c r="B31" s="11" t="s">
        <v>6</v>
      </c>
      <c r="C31" s="12">
        <v>0</v>
      </c>
      <c r="D31" s="11" t="s">
        <v>7</v>
      </c>
      <c r="E31" s="12">
        <v>0</v>
      </c>
      <c r="F31" s="11" t="s">
        <v>8</v>
      </c>
      <c r="G31" s="12">
        <v>0</v>
      </c>
      <c r="H31" s="11" t="s">
        <v>9</v>
      </c>
      <c r="I31" s="12">
        <v>0</v>
      </c>
      <c r="J31" s="11" t="s">
        <v>10</v>
      </c>
      <c r="K31" s="12">
        <v>0.01</v>
      </c>
      <c r="L31" s="11"/>
      <c r="M31" s="11"/>
      <c r="N31" s="11"/>
      <c r="O31" s="11"/>
    </row>
    <row r="32" spans="1:15" s="7" customFormat="1" x14ac:dyDescent="0.45">
      <c r="A32" s="11" t="s">
        <v>123</v>
      </c>
      <c r="B32" s="11" t="s">
        <v>6</v>
      </c>
      <c r="C32" s="12">
        <v>-1</v>
      </c>
      <c r="D32" s="11" t="s">
        <v>7</v>
      </c>
      <c r="E32" s="12">
        <v>-1</v>
      </c>
      <c r="F32" s="11" t="s">
        <v>8</v>
      </c>
      <c r="G32" s="12">
        <v>-1</v>
      </c>
      <c r="H32" s="11" t="s">
        <v>9</v>
      </c>
      <c r="I32" s="12">
        <v>-1</v>
      </c>
      <c r="J32" s="11" t="s">
        <v>10</v>
      </c>
      <c r="K32" s="12">
        <v>-0.01</v>
      </c>
      <c r="L32" s="11"/>
      <c r="M32" s="11"/>
      <c r="N32" s="11"/>
      <c r="O32" s="11"/>
    </row>
    <row r="33" spans="1:16" s="7" customFormat="1" x14ac:dyDescent="0.45">
      <c r="A33" s="11" t="s">
        <v>65</v>
      </c>
      <c r="B33" s="11" t="s">
        <v>6</v>
      </c>
      <c r="C33" s="12">
        <v>0</v>
      </c>
      <c r="D33" s="11" t="s">
        <v>7</v>
      </c>
      <c r="E33" s="11">
        <v>0</v>
      </c>
      <c r="F33" s="11" t="s">
        <v>8</v>
      </c>
      <c r="G33" s="11">
        <v>0</v>
      </c>
      <c r="H33" s="11" t="s">
        <v>9</v>
      </c>
      <c r="I33" s="11">
        <v>0</v>
      </c>
      <c r="J33" s="11" t="s">
        <v>10</v>
      </c>
      <c r="K33" s="11">
        <v>0.1</v>
      </c>
      <c r="L33" s="11"/>
      <c r="M33" s="11"/>
      <c r="N33" s="11"/>
      <c r="O33" s="11"/>
    </row>
    <row r="34" spans="1:16" s="7" customFormat="1" x14ac:dyDescent="0.45">
      <c r="A34" s="11" t="s">
        <v>98</v>
      </c>
      <c r="B34" s="11" t="s">
        <v>6</v>
      </c>
      <c r="C34" s="12" t="s">
        <v>157</v>
      </c>
      <c r="D34" s="11" t="s">
        <v>7</v>
      </c>
      <c r="E34" s="11" t="s">
        <v>99</v>
      </c>
      <c r="F34" s="11" t="s">
        <v>8</v>
      </c>
      <c r="G34" s="11" t="s">
        <v>144</v>
      </c>
      <c r="H34" s="11" t="s">
        <v>9</v>
      </c>
      <c r="I34" s="11" t="s">
        <v>100</v>
      </c>
      <c r="J34" s="11" t="s">
        <v>10</v>
      </c>
      <c r="K34" s="11" t="s">
        <v>159</v>
      </c>
      <c r="L34" s="11"/>
      <c r="M34" s="11"/>
      <c r="N34" s="11"/>
      <c r="O34" s="11"/>
    </row>
    <row r="35" spans="1:16" s="7" customFormat="1" x14ac:dyDescent="0.45">
      <c r="A35" s="11" t="s">
        <v>22</v>
      </c>
      <c r="B35" s="11" t="s">
        <v>154</v>
      </c>
      <c r="C35" s="11" t="s">
        <v>153</v>
      </c>
      <c r="D35" s="11" t="s">
        <v>150</v>
      </c>
      <c r="E35" s="11" t="s">
        <v>151</v>
      </c>
      <c r="F35" s="11" t="s">
        <v>152</v>
      </c>
      <c r="G35" s="11" t="s">
        <v>87</v>
      </c>
      <c r="I35" s="11"/>
      <c r="P35" s="11"/>
    </row>
    <row r="36" spans="1:16" s="7" customFormat="1" x14ac:dyDescent="0.45">
      <c r="A36" s="11" t="s">
        <v>26</v>
      </c>
      <c r="B36" s="11" t="s">
        <v>103</v>
      </c>
      <c r="C36" s="11" t="s">
        <v>58</v>
      </c>
      <c r="D36" s="11" t="s">
        <v>78</v>
      </c>
      <c r="E36" s="11" t="s">
        <v>105</v>
      </c>
      <c r="F36" s="11"/>
      <c r="G36" s="11"/>
      <c r="H36" s="11"/>
      <c r="I36" s="11"/>
      <c r="J36" s="11"/>
      <c r="K36" s="11"/>
      <c r="L36" s="11"/>
      <c r="M36" s="11"/>
      <c r="N36" s="11"/>
      <c r="O36" s="11"/>
    </row>
    <row r="37" spans="1:16" s="7" customFormat="1" x14ac:dyDescent="0.45">
      <c r="A37" s="11" t="s">
        <v>33</v>
      </c>
      <c r="B37" s="11" t="s">
        <v>154</v>
      </c>
      <c r="C37" s="11" t="s">
        <v>86</v>
      </c>
      <c r="D37" s="11" t="s">
        <v>116</v>
      </c>
      <c r="E37" s="11" t="s">
        <v>155</v>
      </c>
      <c r="F37" s="11" t="s">
        <v>137</v>
      </c>
      <c r="G37" s="11" t="s">
        <v>138</v>
      </c>
      <c r="H37" s="11"/>
      <c r="I37" s="11"/>
      <c r="J37" s="11"/>
      <c r="K37" s="11"/>
      <c r="L37" s="11"/>
      <c r="M37" s="11"/>
      <c r="N37" s="11"/>
      <c r="O37" s="11"/>
    </row>
    <row r="38" spans="1:16" s="7" customFormat="1" x14ac:dyDescent="0.45">
      <c r="A38" s="11" t="s">
        <v>33</v>
      </c>
      <c r="B38" s="11" t="s">
        <v>153</v>
      </c>
      <c r="C38" s="11" t="s">
        <v>86</v>
      </c>
      <c r="D38" s="11"/>
      <c r="E38" s="11"/>
      <c r="F38" s="11"/>
      <c r="G38" s="11"/>
      <c r="H38" s="11"/>
      <c r="I38" s="11"/>
      <c r="J38" s="11"/>
      <c r="K38" s="11"/>
      <c r="L38" s="11"/>
      <c r="M38" s="11"/>
      <c r="N38" s="11"/>
      <c r="O38" s="11"/>
    </row>
    <row r="39" spans="1:16" s="7" customFormat="1" x14ac:dyDescent="0.45">
      <c r="A39" s="11" t="s">
        <v>33</v>
      </c>
      <c r="B39" s="11" t="s">
        <v>150</v>
      </c>
      <c r="C39" s="11"/>
      <c r="D39" s="11"/>
      <c r="E39" s="11"/>
      <c r="G39" s="11"/>
      <c r="H39" s="11"/>
      <c r="I39" s="11"/>
      <c r="J39" s="11"/>
      <c r="K39" s="11"/>
      <c r="L39" s="11"/>
      <c r="M39" s="11"/>
      <c r="N39" s="11"/>
      <c r="O39" s="11"/>
    </row>
    <row r="40" spans="1:16" s="7" customFormat="1" x14ac:dyDescent="0.45">
      <c r="A40" s="11" t="s">
        <v>33</v>
      </c>
      <c r="B40" s="11" t="s">
        <v>151</v>
      </c>
      <c r="C40" s="11" t="s">
        <v>86</v>
      </c>
      <c r="F40" s="11"/>
      <c r="G40" s="11"/>
      <c r="H40" s="11"/>
      <c r="I40" s="11"/>
      <c r="J40" s="11"/>
      <c r="K40" s="11"/>
      <c r="L40" s="11"/>
      <c r="M40" s="11"/>
      <c r="N40" s="11"/>
      <c r="O40" s="11"/>
    </row>
    <row r="41" spans="1:16" s="7" customFormat="1" x14ac:dyDescent="0.45">
      <c r="A41" s="7" t="s">
        <v>33</v>
      </c>
      <c r="B41" s="11" t="s">
        <v>152</v>
      </c>
      <c r="C41" s="11" t="s">
        <v>86</v>
      </c>
      <c r="D41" s="11"/>
      <c r="E41" s="11"/>
      <c r="F41" s="11"/>
      <c r="G41" s="11"/>
      <c r="H41" s="11"/>
      <c r="I41" s="11"/>
      <c r="J41" s="11"/>
      <c r="K41" s="11"/>
      <c r="L41" s="11"/>
      <c r="M41" s="11"/>
      <c r="N41" s="11"/>
      <c r="O41" s="11"/>
    </row>
    <row r="42" spans="1:16" s="7" customFormat="1" x14ac:dyDescent="0.45">
      <c r="A42" s="11" t="s">
        <v>33</v>
      </c>
      <c r="B42" s="11" t="s">
        <v>87</v>
      </c>
      <c r="C42" s="11" t="s">
        <v>86</v>
      </c>
      <c r="E42" s="11"/>
      <c r="F42" s="11"/>
      <c r="G42" s="11"/>
      <c r="H42" s="11"/>
      <c r="I42" s="11"/>
      <c r="J42" s="11"/>
      <c r="K42" s="11"/>
      <c r="L42" s="11"/>
      <c r="M42" s="11"/>
      <c r="N42" s="11"/>
      <c r="O42" s="11"/>
    </row>
    <row r="43" spans="1:16" s="7" customFormat="1" x14ac:dyDescent="0.45">
      <c r="A43" s="11" t="s">
        <v>33</v>
      </c>
      <c r="B43" s="11" t="s">
        <v>105</v>
      </c>
      <c r="C43" s="11" t="s">
        <v>86</v>
      </c>
      <c r="D43" s="11"/>
      <c r="E43" s="11"/>
      <c r="F43" s="11"/>
      <c r="G43" s="11"/>
      <c r="H43" s="11"/>
      <c r="I43" s="11"/>
      <c r="J43" s="11"/>
      <c r="K43" s="11"/>
      <c r="L43" s="11"/>
      <c r="M43" s="11"/>
      <c r="N43" s="11"/>
      <c r="O43" s="11"/>
    </row>
    <row r="44" spans="1:16" s="7" customFormat="1" x14ac:dyDescent="0.45">
      <c r="A44" s="11" t="s">
        <v>33</v>
      </c>
      <c r="B44" s="11" t="s">
        <v>136</v>
      </c>
      <c r="C44" s="11" t="s">
        <v>138</v>
      </c>
      <c r="D44" s="11" t="s">
        <v>139</v>
      </c>
      <c r="E44" s="11"/>
      <c r="F44" s="11"/>
      <c r="G44" s="11"/>
      <c r="H44" s="11"/>
      <c r="I44" s="11"/>
      <c r="J44" s="11"/>
      <c r="K44" s="11"/>
      <c r="L44" s="11"/>
      <c r="M44" s="11"/>
      <c r="N44" s="11"/>
      <c r="O44" s="11"/>
    </row>
    <row r="45" spans="1:16" s="7" customFormat="1" x14ac:dyDescent="0.45">
      <c r="A45" s="11" t="s">
        <v>33</v>
      </c>
      <c r="B45" s="11" t="s">
        <v>30</v>
      </c>
      <c r="C45" s="12" t="s">
        <v>86</v>
      </c>
      <c r="D45" s="11"/>
      <c r="E45" s="11"/>
      <c r="F45" s="11"/>
      <c r="G45" s="11"/>
      <c r="H45" s="11"/>
      <c r="I45" s="11"/>
      <c r="J45" s="11"/>
      <c r="K45" s="11"/>
      <c r="L45" s="11"/>
      <c r="M45" s="11"/>
      <c r="N45" s="11"/>
      <c r="O45" s="11"/>
    </row>
    <row r="46" spans="1:16" s="7" customFormat="1" x14ac:dyDescent="0.45">
      <c r="A46" s="11" t="s">
        <v>33</v>
      </c>
      <c r="B46" s="11" t="s">
        <v>103</v>
      </c>
      <c r="D46" s="11"/>
      <c r="E46" s="12"/>
      <c r="F46" s="11"/>
      <c r="G46" s="11"/>
      <c r="H46" s="11"/>
      <c r="I46" s="11"/>
      <c r="J46" s="11"/>
      <c r="K46" s="11"/>
      <c r="L46" s="11"/>
      <c r="M46" s="11"/>
      <c r="N46" s="11"/>
      <c r="O46" s="11"/>
    </row>
    <row r="47" spans="1:16" s="7" customFormat="1" x14ac:dyDescent="0.45">
      <c r="A47" s="11" t="s">
        <v>33</v>
      </c>
      <c r="B47" s="11" t="s">
        <v>58</v>
      </c>
      <c r="C47" s="11"/>
      <c r="F47" s="11"/>
      <c r="G47" s="11"/>
      <c r="H47" s="11"/>
      <c r="I47" s="11"/>
      <c r="J47" s="11"/>
      <c r="K47" s="11"/>
      <c r="L47" s="11"/>
      <c r="M47" s="11"/>
      <c r="N47" s="11"/>
      <c r="O47" s="11"/>
    </row>
    <row r="48" spans="1:16" s="7" customFormat="1" x14ac:dyDescent="0.45">
      <c r="A48" s="11" t="s">
        <v>33</v>
      </c>
      <c r="B48" s="11" t="s">
        <v>78</v>
      </c>
      <c r="C48" s="11"/>
      <c r="F48" s="11"/>
      <c r="G48" s="11"/>
      <c r="H48" s="11"/>
      <c r="I48" s="11"/>
      <c r="J48" s="11"/>
      <c r="K48" s="11"/>
      <c r="L48" s="11"/>
      <c r="M48" s="11"/>
      <c r="N48" s="11"/>
      <c r="O48" s="11"/>
    </row>
    <row r="49" spans="1:16" s="7" customFormat="1" x14ac:dyDescent="0.45">
      <c r="A49" s="11" t="s">
        <v>11</v>
      </c>
      <c r="B49" s="11"/>
      <c r="C49" s="11"/>
      <c r="F49" s="11"/>
      <c r="G49" s="11"/>
      <c r="H49" s="11"/>
      <c r="I49" s="11"/>
      <c r="J49" s="11"/>
      <c r="K49" s="11"/>
      <c r="L49" s="11"/>
      <c r="M49" s="11"/>
      <c r="N49" s="11"/>
      <c r="O49" s="11"/>
    </row>
    <row r="50" spans="1:16" s="7" customFormat="1" x14ac:dyDescent="0.45">
      <c r="A50" s="11" t="s">
        <v>11</v>
      </c>
      <c r="B50" s="11"/>
      <c r="C50" s="11"/>
      <c r="F50" s="11"/>
      <c r="G50" s="11"/>
      <c r="H50" s="11"/>
      <c r="I50" s="11"/>
      <c r="J50" s="11"/>
      <c r="K50" s="11"/>
      <c r="L50" s="11"/>
      <c r="M50" s="11"/>
      <c r="N50" s="11"/>
      <c r="O50" s="11"/>
    </row>
    <row r="51" spans="1:16" x14ac:dyDescent="0.45">
      <c r="A51" s="1" t="s">
        <v>11</v>
      </c>
    </row>
    <row r="52" spans="1:16" x14ac:dyDescent="0.45">
      <c r="A52" s="1" t="s">
        <v>11</v>
      </c>
    </row>
    <row r="53" spans="1:16" s="7" customFormat="1" x14ac:dyDescent="0.45">
      <c r="A53" s="11" t="s">
        <v>11</v>
      </c>
      <c r="B53" s="11"/>
      <c r="C53" s="12"/>
      <c r="D53" s="11"/>
      <c r="E53" s="11"/>
      <c r="F53" s="11"/>
      <c r="G53" s="11"/>
      <c r="H53" s="11"/>
      <c r="I53" s="11"/>
      <c r="J53" s="11"/>
      <c r="K53" s="11"/>
      <c r="L53" s="11"/>
      <c r="M53" s="11"/>
      <c r="N53" s="11"/>
      <c r="O53" s="11"/>
    </row>
    <row r="54" spans="1:16" s="7" customFormat="1" x14ac:dyDescent="0.45">
      <c r="A54" s="11" t="s">
        <v>54</v>
      </c>
      <c r="B54" s="11" t="s">
        <v>55</v>
      </c>
      <c r="C54" s="12" t="s">
        <v>103</v>
      </c>
      <c r="D54" s="11" t="s">
        <v>56</v>
      </c>
      <c r="E54" s="11" t="s">
        <v>105</v>
      </c>
      <c r="F54" s="11" t="s">
        <v>57</v>
      </c>
      <c r="G54" s="11" t="s">
        <v>153</v>
      </c>
      <c r="H54" s="11"/>
      <c r="I54" s="11"/>
      <c r="J54" s="11"/>
      <c r="K54" s="11"/>
      <c r="L54" s="11"/>
      <c r="M54" s="11"/>
      <c r="N54" s="11"/>
      <c r="O54" s="11"/>
    </row>
    <row r="55" spans="1:16" s="7" customFormat="1" x14ac:dyDescent="0.45">
      <c r="A55" s="13" t="s">
        <v>52</v>
      </c>
      <c r="B55" s="11"/>
      <c r="C55" s="12"/>
      <c r="D55" s="11"/>
      <c r="E55" s="11"/>
      <c r="F55" s="11"/>
      <c r="G55" s="11"/>
      <c r="H55" s="11"/>
      <c r="I55" s="11"/>
      <c r="J55" s="11"/>
      <c r="K55" s="11"/>
      <c r="L55" s="11"/>
      <c r="M55" s="11"/>
      <c r="N55" s="11"/>
      <c r="O55" s="11"/>
    </row>
    <row r="56" spans="1:16" s="7" customFormat="1" x14ac:dyDescent="0.45">
      <c r="A56" s="11" t="str">
        <f>IF(I2&lt;&gt;0,"freezeDry","KIND")</f>
        <v>freezeDry</v>
      </c>
      <c r="B56" s="11" t="s">
        <v>36</v>
      </c>
      <c r="C56" s="12" t="s">
        <v>37</v>
      </c>
      <c r="D56" s="11" t="s">
        <v>38</v>
      </c>
      <c r="E56" s="11" t="s">
        <v>39</v>
      </c>
      <c r="F56" s="11" t="s">
        <v>38</v>
      </c>
      <c r="G56" s="11" t="s">
        <v>40</v>
      </c>
      <c r="H56" s="11" t="s">
        <v>38</v>
      </c>
      <c r="I56" s="11" t="s">
        <v>47</v>
      </c>
      <c r="J56" s="11" t="s">
        <v>38</v>
      </c>
      <c r="K56" s="11"/>
      <c r="L56" s="11"/>
      <c r="M56" s="11"/>
      <c r="N56" s="11"/>
      <c r="O56" s="11"/>
    </row>
    <row r="57" spans="1:16" s="7" customFormat="1" x14ac:dyDescent="0.45">
      <c r="A57" s="11" t="s">
        <v>41</v>
      </c>
      <c r="B57" s="11" t="s">
        <v>48</v>
      </c>
      <c r="C57" s="12" t="s">
        <v>42</v>
      </c>
      <c r="D57" s="11">
        <v>20000</v>
      </c>
      <c r="E57" s="11" t="s">
        <v>92</v>
      </c>
      <c r="F57" s="11">
        <v>0</v>
      </c>
      <c r="G57" s="11" t="s">
        <v>90</v>
      </c>
      <c r="H57" s="11">
        <v>500</v>
      </c>
      <c r="I57" s="11" t="s">
        <v>91</v>
      </c>
      <c r="J57" s="11">
        <v>2</v>
      </c>
      <c r="K57" s="11"/>
      <c r="L57" s="11"/>
      <c r="M57" s="11"/>
      <c r="N57" s="11"/>
      <c r="O57" s="11"/>
    </row>
    <row r="58" spans="1:16" s="7" customFormat="1" x14ac:dyDescent="0.45">
      <c r="A58" s="11" t="s">
        <v>41</v>
      </c>
      <c r="B58" s="11" t="s">
        <v>49</v>
      </c>
      <c r="C58" s="12" t="s">
        <v>6</v>
      </c>
      <c r="D58" s="11">
        <v>1</v>
      </c>
      <c r="E58" s="11"/>
      <c r="F58" s="11"/>
      <c r="G58" s="11"/>
      <c r="H58" s="11"/>
      <c r="I58" s="11"/>
      <c r="J58" s="11"/>
      <c r="K58" s="11"/>
      <c r="L58" s="11"/>
      <c r="M58" s="11"/>
      <c r="N58" s="11"/>
      <c r="O58" s="11"/>
    </row>
    <row r="59" spans="1:16" s="7" customFormat="1" x14ac:dyDescent="0.45">
      <c r="A59" s="11" t="s">
        <v>41</v>
      </c>
      <c r="B59" s="11" t="s">
        <v>50</v>
      </c>
      <c r="C59" s="12" t="s">
        <v>103</v>
      </c>
      <c r="D59" s="11">
        <v>0</v>
      </c>
      <c r="E59" s="11" t="s">
        <v>58</v>
      </c>
      <c r="F59" s="11">
        <v>0</v>
      </c>
      <c r="G59" s="11" t="s">
        <v>78</v>
      </c>
      <c r="H59" s="11">
        <v>1E-4</v>
      </c>
      <c r="I59" s="7" t="s">
        <v>105</v>
      </c>
      <c r="J59" s="7">
        <v>0</v>
      </c>
      <c r="K59" s="11"/>
      <c r="L59" s="11"/>
      <c r="M59" s="11"/>
      <c r="N59" s="11"/>
      <c r="O59" s="11"/>
    </row>
    <row r="60" spans="1:16" s="7" customFormat="1" x14ac:dyDescent="0.45">
      <c r="A60" s="11" t="s">
        <v>41</v>
      </c>
      <c r="B60" s="11" t="s">
        <v>51</v>
      </c>
      <c r="C60" s="11" t="s">
        <v>154</v>
      </c>
      <c r="D60" s="11">
        <v>0</v>
      </c>
      <c r="E60" s="11" t="s">
        <v>153</v>
      </c>
      <c r="F60" s="11">
        <v>0</v>
      </c>
      <c r="G60" s="11" t="s">
        <v>150</v>
      </c>
      <c r="H60" s="11">
        <v>0</v>
      </c>
      <c r="I60" s="11" t="s">
        <v>87</v>
      </c>
      <c r="J60" s="11">
        <v>0</v>
      </c>
      <c r="M60" s="11"/>
      <c r="N60" s="11"/>
      <c r="O60" s="11"/>
      <c r="P60" s="11"/>
    </row>
    <row r="61" spans="1:16" s="7" customFormat="1" x14ac:dyDescent="0.45">
      <c r="A61" s="11" t="s">
        <v>43</v>
      </c>
      <c r="B61" s="11" t="s">
        <v>48</v>
      </c>
      <c r="C61" s="12" t="s">
        <v>42</v>
      </c>
      <c r="D61" s="11">
        <v>1</v>
      </c>
      <c r="E61" s="11" t="s">
        <v>92</v>
      </c>
      <c r="F61" s="11">
        <v>0</v>
      </c>
      <c r="G61" s="11" t="s">
        <v>90</v>
      </c>
      <c r="H61" s="11">
        <v>60</v>
      </c>
      <c r="I61" s="11" t="s">
        <v>91</v>
      </c>
      <c r="J61" s="11">
        <v>10</v>
      </c>
      <c r="K61" s="11"/>
      <c r="L61" s="11"/>
      <c r="M61" s="11"/>
      <c r="N61" s="11"/>
      <c r="O61" s="11"/>
    </row>
    <row r="62" spans="1:16" s="7" customFormat="1" x14ac:dyDescent="0.45">
      <c r="A62" s="11" t="s">
        <v>43</v>
      </c>
      <c r="B62" s="11" t="s">
        <v>49</v>
      </c>
      <c r="C62" s="12" t="s">
        <v>7</v>
      </c>
      <c r="D62" s="11">
        <v>1</v>
      </c>
      <c r="E62" s="11"/>
      <c r="F62" s="11"/>
      <c r="G62" s="11"/>
      <c r="H62" s="11"/>
      <c r="I62" s="11"/>
      <c r="J62" s="11"/>
      <c r="K62" s="11"/>
      <c r="L62" s="11"/>
      <c r="M62" s="11"/>
      <c r="N62" s="11"/>
      <c r="O62" s="11"/>
    </row>
    <row r="63" spans="1:16" s="7" customFormat="1" x14ac:dyDescent="0.45">
      <c r="A63" s="11" t="s">
        <v>43</v>
      </c>
      <c r="B63" s="11" t="s">
        <v>50</v>
      </c>
      <c r="C63" s="12" t="s">
        <v>103</v>
      </c>
      <c r="D63" s="11">
        <v>0</v>
      </c>
      <c r="E63" s="11" t="s">
        <v>58</v>
      </c>
      <c r="F63" s="11">
        <v>0</v>
      </c>
      <c r="G63" s="11" t="s">
        <v>78</v>
      </c>
      <c r="H63" s="11">
        <v>1E-4</v>
      </c>
      <c r="I63" s="7" t="s">
        <v>105</v>
      </c>
      <c r="J63" s="7">
        <v>0</v>
      </c>
      <c r="K63" s="11"/>
      <c r="L63" s="11"/>
      <c r="M63" s="11"/>
      <c r="N63" s="11"/>
      <c r="O63" s="11"/>
    </row>
    <row r="64" spans="1:16" s="7" customFormat="1" x14ac:dyDescent="0.45">
      <c r="A64" s="11" t="s">
        <v>43</v>
      </c>
      <c r="B64" s="11" t="s">
        <v>51</v>
      </c>
      <c r="C64" s="11" t="s">
        <v>154</v>
      </c>
      <c r="D64" s="11">
        <v>0.5</v>
      </c>
      <c r="E64" s="11" t="s">
        <v>153</v>
      </c>
      <c r="F64" s="11">
        <v>0</v>
      </c>
      <c r="G64" s="11" t="s">
        <v>150</v>
      </c>
      <c r="H64" s="11">
        <v>0</v>
      </c>
      <c r="I64" s="11" t="s">
        <v>87</v>
      </c>
      <c r="J64" s="11">
        <v>0</v>
      </c>
      <c r="L64" s="11"/>
      <c r="M64" s="11"/>
      <c r="N64" s="11"/>
      <c r="O64" s="11"/>
    </row>
    <row r="65" spans="1:15" s="7" customFormat="1" x14ac:dyDescent="0.45">
      <c r="A65" s="11" t="s">
        <v>44</v>
      </c>
      <c r="B65" s="11" t="s">
        <v>48</v>
      </c>
      <c r="C65" s="12" t="s">
        <v>42</v>
      </c>
      <c r="D65" s="11">
        <v>1</v>
      </c>
      <c r="E65" s="11" t="s">
        <v>92</v>
      </c>
      <c r="F65" s="11">
        <v>0</v>
      </c>
      <c r="G65" s="11" t="s">
        <v>90</v>
      </c>
      <c r="H65" s="11">
        <v>60</v>
      </c>
      <c r="I65" s="11" t="s">
        <v>91</v>
      </c>
      <c r="J65" s="11">
        <v>10</v>
      </c>
      <c r="K65" s="11"/>
      <c r="L65" s="11"/>
      <c r="M65" s="11"/>
      <c r="N65" s="11"/>
      <c r="O65" s="11"/>
    </row>
    <row r="66" spans="1:15" s="7" customFormat="1" x14ac:dyDescent="0.45">
      <c r="A66" s="11" t="s">
        <v>44</v>
      </c>
      <c r="B66" s="11" t="s">
        <v>49</v>
      </c>
      <c r="C66" s="12" t="s">
        <v>8</v>
      </c>
      <c r="D66" s="11">
        <v>1</v>
      </c>
      <c r="E66" s="11"/>
      <c r="F66" s="11"/>
      <c r="G66" s="11"/>
      <c r="H66" s="11"/>
      <c r="I66" s="11"/>
      <c r="J66" s="11"/>
      <c r="K66" s="11"/>
      <c r="L66" s="11"/>
      <c r="M66" s="11"/>
      <c r="N66" s="11"/>
      <c r="O66" s="11"/>
    </row>
    <row r="67" spans="1:15" s="7" customFormat="1" x14ac:dyDescent="0.45">
      <c r="A67" s="11" t="s">
        <v>44</v>
      </c>
      <c r="B67" s="11" t="s">
        <v>50</v>
      </c>
      <c r="C67" s="12" t="s">
        <v>103</v>
      </c>
      <c r="D67" s="11">
        <v>0</v>
      </c>
      <c r="E67" s="11" t="s">
        <v>78</v>
      </c>
      <c r="F67" s="11">
        <v>1E-4</v>
      </c>
      <c r="G67" s="11"/>
      <c r="H67" s="11"/>
      <c r="I67" s="11"/>
      <c r="J67" s="11"/>
      <c r="K67" s="11"/>
      <c r="L67" s="11"/>
      <c r="M67" s="11"/>
      <c r="N67" s="11"/>
      <c r="O67" s="11"/>
    </row>
    <row r="68" spans="1:15" s="7" customFormat="1" x14ac:dyDescent="0.45">
      <c r="A68" s="11" t="s">
        <v>44</v>
      </c>
      <c r="B68" s="11" t="s">
        <v>51</v>
      </c>
      <c r="C68" s="11" t="s">
        <v>154</v>
      </c>
      <c r="D68" s="11">
        <v>0.5</v>
      </c>
      <c r="E68" s="11" t="s">
        <v>153</v>
      </c>
      <c r="F68" s="11">
        <v>0</v>
      </c>
      <c r="G68" s="11" t="s">
        <v>151</v>
      </c>
      <c r="H68" s="11">
        <v>0</v>
      </c>
      <c r="I68" s="11"/>
      <c r="J68" s="11"/>
      <c r="K68" s="11"/>
      <c r="L68" s="11"/>
      <c r="M68" s="11"/>
      <c r="N68" s="11"/>
      <c r="O68" s="11"/>
    </row>
    <row r="69" spans="1:15" s="7" customFormat="1" x14ac:dyDescent="0.45">
      <c r="A69" s="11" t="s">
        <v>45</v>
      </c>
      <c r="B69" s="11" t="s">
        <v>48</v>
      </c>
      <c r="C69" s="12" t="s">
        <v>42</v>
      </c>
      <c r="D69" s="11">
        <v>1</v>
      </c>
      <c r="E69" s="11" t="s">
        <v>92</v>
      </c>
      <c r="F69" s="11">
        <v>0</v>
      </c>
      <c r="G69" s="11" t="s">
        <v>90</v>
      </c>
      <c r="H69" s="11">
        <v>60</v>
      </c>
      <c r="I69" s="11" t="s">
        <v>91</v>
      </c>
      <c r="J69" s="11">
        <v>10</v>
      </c>
      <c r="K69" s="11"/>
      <c r="L69" s="11"/>
      <c r="M69" s="11"/>
      <c r="N69" s="11"/>
      <c r="O69" s="11"/>
    </row>
    <row r="70" spans="1:15" s="7" customFormat="1" x14ac:dyDescent="0.45">
      <c r="A70" s="11" t="s">
        <v>45</v>
      </c>
      <c r="B70" s="11" t="s">
        <v>49</v>
      </c>
      <c r="C70" s="12" t="s">
        <v>9</v>
      </c>
      <c r="D70" s="11">
        <v>1</v>
      </c>
      <c r="E70" s="11"/>
      <c r="F70" s="11"/>
      <c r="G70" s="11"/>
      <c r="H70" s="11"/>
      <c r="I70" s="11"/>
      <c r="J70" s="11"/>
      <c r="K70" s="11"/>
      <c r="L70" s="11"/>
      <c r="M70" s="11"/>
      <c r="N70" s="11"/>
      <c r="O70" s="11"/>
    </row>
    <row r="71" spans="1:15" s="7" customFormat="1" x14ac:dyDescent="0.45">
      <c r="A71" s="11" t="s">
        <v>45</v>
      </c>
      <c r="B71" s="11" t="s">
        <v>50</v>
      </c>
      <c r="C71" s="12" t="s">
        <v>103</v>
      </c>
      <c r="D71" s="11">
        <v>0</v>
      </c>
      <c r="E71" s="11" t="s">
        <v>78</v>
      </c>
      <c r="F71" s="11">
        <v>1E-4</v>
      </c>
      <c r="G71" s="11"/>
      <c r="H71" s="11"/>
      <c r="I71" s="11"/>
      <c r="J71" s="11"/>
      <c r="K71" s="11"/>
      <c r="L71" s="11"/>
      <c r="M71" s="11"/>
      <c r="N71" s="11"/>
      <c r="O71" s="11"/>
    </row>
    <row r="72" spans="1:15" s="7" customFormat="1" x14ac:dyDescent="0.45">
      <c r="A72" s="11" t="s">
        <v>45</v>
      </c>
      <c r="B72" s="11" t="s">
        <v>51</v>
      </c>
      <c r="C72" s="11" t="s">
        <v>151</v>
      </c>
      <c r="D72" s="11">
        <v>0</v>
      </c>
      <c r="E72" s="11" t="s">
        <v>152</v>
      </c>
      <c r="F72" s="11">
        <v>0</v>
      </c>
      <c r="G72" s="11" t="s">
        <v>154</v>
      </c>
      <c r="H72" s="11">
        <v>1</v>
      </c>
      <c r="I72" s="11" t="s">
        <v>153</v>
      </c>
      <c r="J72" s="11">
        <v>0</v>
      </c>
      <c r="K72" s="11"/>
      <c r="L72" s="11"/>
      <c r="M72" s="11"/>
      <c r="N72" s="11"/>
      <c r="O72" s="11"/>
    </row>
    <row r="73" spans="1:15" s="7" customFormat="1" x14ac:dyDescent="0.45">
      <c r="A73" s="11" t="s">
        <v>46</v>
      </c>
      <c r="B73" s="11" t="s">
        <v>48</v>
      </c>
      <c r="C73" s="12" t="s">
        <v>42</v>
      </c>
      <c r="D73" s="11">
        <v>1</v>
      </c>
      <c r="E73" s="11" t="s">
        <v>92</v>
      </c>
      <c r="F73" s="11">
        <v>0</v>
      </c>
      <c r="G73" s="11" t="s">
        <v>90</v>
      </c>
      <c r="H73" s="11">
        <v>60</v>
      </c>
      <c r="I73" s="11" t="s">
        <v>91</v>
      </c>
      <c r="J73" s="11">
        <v>2</v>
      </c>
      <c r="K73" s="11"/>
      <c r="L73" s="11"/>
      <c r="M73" s="11"/>
      <c r="N73" s="11"/>
      <c r="O73" s="11"/>
    </row>
    <row r="74" spans="1:15" s="7" customFormat="1" x14ac:dyDescent="0.45">
      <c r="A74" s="11" t="s">
        <v>46</v>
      </c>
      <c r="B74" s="11" t="s">
        <v>49</v>
      </c>
      <c r="C74" s="12" t="s">
        <v>10</v>
      </c>
      <c r="D74" s="11">
        <v>1</v>
      </c>
      <c r="E74" s="11"/>
      <c r="F74" s="11"/>
      <c r="G74" s="11"/>
      <c r="H74" s="11"/>
      <c r="I74" s="11"/>
      <c r="J74" s="11"/>
      <c r="K74" s="11"/>
      <c r="L74" s="11"/>
      <c r="M74" s="11"/>
      <c r="N74" s="11"/>
      <c r="O74" s="11"/>
    </row>
    <row r="75" spans="1:15" s="7" customFormat="1" x14ac:dyDescent="0.45">
      <c r="A75" s="11" t="s">
        <v>46</v>
      </c>
      <c r="B75" s="11" t="s">
        <v>50</v>
      </c>
      <c r="C75" s="12" t="s">
        <v>103</v>
      </c>
      <c r="D75" s="11">
        <v>0</v>
      </c>
      <c r="E75" s="11" t="s">
        <v>78</v>
      </c>
      <c r="F75" s="11">
        <v>1E-4</v>
      </c>
      <c r="G75" s="11"/>
      <c r="H75" s="11"/>
      <c r="I75" s="11"/>
      <c r="J75" s="11"/>
      <c r="K75" s="11"/>
      <c r="L75" s="11"/>
      <c r="M75" s="11"/>
      <c r="N75" s="11"/>
      <c r="O75" s="11"/>
    </row>
    <row r="76" spans="1:15" s="7" customFormat="1" x14ac:dyDescent="0.45">
      <c r="A76" s="11" t="s">
        <v>46</v>
      </c>
      <c r="B76" s="11" t="s">
        <v>51</v>
      </c>
      <c r="C76" s="11" t="s">
        <v>150</v>
      </c>
      <c r="D76" s="11">
        <v>0</v>
      </c>
      <c r="E76" s="11" t="s">
        <v>154</v>
      </c>
      <c r="F76" s="11">
        <v>0</v>
      </c>
      <c r="G76" s="11" t="s">
        <v>153</v>
      </c>
      <c r="H76" s="11">
        <v>0</v>
      </c>
      <c r="I76" s="11"/>
      <c r="J76" s="11"/>
      <c r="K76" s="11"/>
      <c r="L76" s="11"/>
      <c r="M76" s="11"/>
      <c r="N76" s="11"/>
      <c r="O76" s="11"/>
    </row>
    <row r="77" spans="1:15" s="7" customFormat="1" x14ac:dyDescent="0.45">
      <c r="A77" s="11" t="s">
        <v>59</v>
      </c>
      <c r="B77" s="11" t="s">
        <v>48</v>
      </c>
      <c r="C77" s="12" t="s">
        <v>42</v>
      </c>
      <c r="D77" s="11">
        <v>1</v>
      </c>
      <c r="E77" s="11" t="s">
        <v>92</v>
      </c>
      <c r="F77" s="11">
        <v>0</v>
      </c>
      <c r="G77" s="11" t="s">
        <v>90</v>
      </c>
      <c r="H77" s="11">
        <v>30</v>
      </c>
      <c r="I77" s="11" t="s">
        <v>91</v>
      </c>
      <c r="J77" s="11">
        <v>2</v>
      </c>
      <c r="K77" s="11"/>
      <c r="L77" s="11"/>
      <c r="M77" s="11"/>
      <c r="N77" s="11"/>
      <c r="O77" s="11"/>
    </row>
    <row r="78" spans="1:15" s="7" customFormat="1" x14ac:dyDescent="0.45">
      <c r="A78" s="11" t="s">
        <v>59</v>
      </c>
      <c r="B78" s="11" t="s">
        <v>49</v>
      </c>
      <c r="C78" s="12" t="s">
        <v>9</v>
      </c>
      <c r="D78" s="11">
        <v>1</v>
      </c>
      <c r="E78" s="11"/>
      <c r="F78" s="11"/>
      <c r="G78" s="11"/>
      <c r="H78" s="11"/>
      <c r="I78" s="11"/>
      <c r="J78" s="11"/>
      <c r="K78" s="11"/>
      <c r="L78" s="11"/>
      <c r="M78" s="11"/>
      <c r="N78" s="11"/>
      <c r="O78" s="11"/>
    </row>
    <row r="79" spans="1:15" s="7" customFormat="1" x14ac:dyDescent="0.45">
      <c r="A79" s="11" t="s">
        <v>59</v>
      </c>
      <c r="B79" s="11" t="s">
        <v>50</v>
      </c>
      <c r="C79" s="12" t="s">
        <v>103</v>
      </c>
      <c r="D79" s="11">
        <v>0</v>
      </c>
      <c r="E79" s="11" t="s">
        <v>78</v>
      </c>
      <c r="F79" s="11">
        <v>1E-4</v>
      </c>
      <c r="G79" s="11"/>
      <c r="H79" s="11"/>
      <c r="I79" s="11"/>
      <c r="J79" s="11"/>
      <c r="K79" s="11"/>
      <c r="L79" s="11"/>
      <c r="M79" s="11"/>
      <c r="N79" s="11"/>
      <c r="O79" s="11"/>
    </row>
    <row r="80" spans="1:15" s="7" customFormat="1" x14ac:dyDescent="0.45">
      <c r="A80" s="11" t="s">
        <v>59</v>
      </c>
      <c r="B80" s="11" t="s">
        <v>51</v>
      </c>
      <c r="C80" s="11" t="s">
        <v>154</v>
      </c>
      <c r="D80" s="11">
        <v>0</v>
      </c>
      <c r="E80" s="11"/>
      <c r="F80" s="11"/>
      <c r="G80" s="11"/>
      <c r="H80" s="11"/>
      <c r="I80" s="11"/>
      <c r="J80" s="11"/>
      <c r="M80" s="11"/>
      <c r="N80" s="11"/>
      <c r="O80" s="11"/>
    </row>
    <row r="81" spans="1:16" s="7" customFormat="1" x14ac:dyDescent="0.45">
      <c r="A81" s="11" t="s">
        <v>124</v>
      </c>
      <c r="B81" s="11" t="s">
        <v>48</v>
      </c>
      <c r="C81" s="12" t="s">
        <v>42</v>
      </c>
      <c r="D81" s="11">
        <v>1</v>
      </c>
      <c r="E81" s="11" t="s">
        <v>92</v>
      </c>
      <c r="F81" s="11">
        <v>0</v>
      </c>
      <c r="G81" s="11" t="s">
        <v>90</v>
      </c>
      <c r="H81" s="11">
        <v>100</v>
      </c>
      <c r="I81" s="11" t="s">
        <v>91</v>
      </c>
      <c r="J81" s="11">
        <v>2</v>
      </c>
      <c r="K81" s="11"/>
      <c r="L81" s="11"/>
      <c r="M81" s="11"/>
      <c r="N81" s="11"/>
      <c r="O81" s="11"/>
    </row>
    <row r="82" spans="1:16" s="7" customFormat="1" x14ac:dyDescent="0.45">
      <c r="A82" s="11" t="s">
        <v>124</v>
      </c>
      <c r="B82" s="11" t="s">
        <v>49</v>
      </c>
      <c r="C82" s="12" t="s">
        <v>6</v>
      </c>
      <c r="D82" s="11">
        <v>1</v>
      </c>
      <c r="E82" s="11"/>
      <c r="F82" s="11"/>
      <c r="G82" s="11"/>
      <c r="H82" s="11"/>
      <c r="I82" s="11"/>
      <c r="J82" s="11"/>
      <c r="K82" s="11"/>
      <c r="L82" s="11"/>
      <c r="M82" s="11"/>
      <c r="N82" s="11"/>
      <c r="O82" s="11"/>
    </row>
    <row r="83" spans="1:16" s="7" customFormat="1" x14ac:dyDescent="0.45">
      <c r="A83" s="11" t="s">
        <v>124</v>
      </c>
      <c r="B83" s="11" t="s">
        <v>50</v>
      </c>
      <c r="C83" s="12" t="s">
        <v>103</v>
      </c>
      <c r="D83" s="11">
        <v>0</v>
      </c>
      <c r="E83" s="11" t="s">
        <v>58</v>
      </c>
      <c r="F83" s="11">
        <v>0</v>
      </c>
      <c r="G83" s="11" t="s">
        <v>78</v>
      </c>
      <c r="H83" s="11">
        <v>1E-4</v>
      </c>
      <c r="I83" s="7" t="s">
        <v>105</v>
      </c>
      <c r="J83" s="7">
        <v>0</v>
      </c>
      <c r="K83" s="11"/>
      <c r="L83" s="11"/>
      <c r="M83" s="11"/>
      <c r="N83" s="11"/>
      <c r="O83" s="11"/>
    </row>
    <row r="84" spans="1:16" s="7" customFormat="1" x14ac:dyDescent="0.45">
      <c r="A84" s="11" t="s">
        <v>124</v>
      </c>
      <c r="B84" s="11" t="s">
        <v>51</v>
      </c>
      <c r="C84" s="11" t="s">
        <v>154</v>
      </c>
      <c r="D84" s="11">
        <v>0</v>
      </c>
      <c r="E84" s="11" t="s">
        <v>153</v>
      </c>
      <c r="F84" s="11">
        <v>0</v>
      </c>
      <c r="G84" s="11" t="s">
        <v>150</v>
      </c>
      <c r="H84" s="11">
        <v>0</v>
      </c>
      <c r="I84" s="11" t="s">
        <v>87</v>
      </c>
      <c r="J84" s="11">
        <v>0</v>
      </c>
      <c r="M84" s="11"/>
      <c r="N84" s="11"/>
      <c r="O84" s="11"/>
      <c r="P84" s="11"/>
    </row>
    <row r="85" spans="1:16" x14ac:dyDescent="0.45">
      <c r="A85" s="1" t="s">
        <v>11</v>
      </c>
    </row>
    <row r="86" spans="1:16" x14ac:dyDescent="0.45">
      <c r="A86" s="1" t="s">
        <v>11</v>
      </c>
    </row>
    <row r="87" spans="1:16" x14ac:dyDescent="0.45">
      <c r="A87" s="1" t="s">
        <v>11</v>
      </c>
    </row>
    <row r="88" spans="1:16" x14ac:dyDescent="0.45">
      <c r="A88" s="1" t="s">
        <v>11</v>
      </c>
    </row>
    <row r="89" spans="1:16" x14ac:dyDescent="0.45">
      <c r="A89" s="1" t="s">
        <v>11</v>
      </c>
    </row>
    <row r="90" spans="1:16" x14ac:dyDescent="0.45">
      <c r="A90" s="1" t="s">
        <v>11</v>
      </c>
    </row>
    <row r="91" spans="1:16" x14ac:dyDescent="0.45">
      <c r="A91" s="1" t="s">
        <v>11</v>
      </c>
    </row>
    <row r="92" spans="1:16" x14ac:dyDescent="0.45">
      <c r="A92" s="1" t="s">
        <v>11</v>
      </c>
    </row>
    <row r="93" spans="1:16" x14ac:dyDescent="0.45">
      <c r="A93" s="1" t="s">
        <v>11</v>
      </c>
    </row>
    <row r="94" spans="1:16" x14ac:dyDescent="0.45">
      <c r="A94" s="1" t="s">
        <v>11</v>
      </c>
    </row>
    <row r="95" spans="1:16" x14ac:dyDescent="0.45">
      <c r="A95" s="1" t="s">
        <v>11</v>
      </c>
    </row>
    <row r="96" spans="1:16" x14ac:dyDescent="0.45">
      <c r="A96" s="1" t="s">
        <v>11</v>
      </c>
    </row>
    <row r="97" spans="1:1" x14ac:dyDescent="0.45">
      <c r="A97" s="1" t="s">
        <v>11</v>
      </c>
    </row>
    <row r="98" spans="1:1" x14ac:dyDescent="0.45">
      <c r="A98" s="1" t="s">
        <v>11</v>
      </c>
    </row>
    <row r="99" spans="1:1" x14ac:dyDescent="0.45">
      <c r="A99" s="1" t="s">
        <v>11</v>
      </c>
    </row>
    <row r="100" spans="1:1" x14ac:dyDescent="0.45">
      <c r="A100" s="1" t="s">
        <v>11</v>
      </c>
    </row>
    <row r="101" spans="1:1" x14ac:dyDescent="0.45">
      <c r="A101" s="1" t="s">
        <v>11</v>
      </c>
    </row>
    <row r="102" spans="1:1" x14ac:dyDescent="0.45">
      <c r="A102" s="1" t="s">
        <v>11</v>
      </c>
    </row>
    <row r="103" spans="1:1" x14ac:dyDescent="0.45">
      <c r="A103" s="1" t="s">
        <v>11</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E22"/>
  <sheetViews>
    <sheetView topLeftCell="A3" zoomScale="93" zoomScaleNormal="93" workbookViewId="0">
      <selection activeCell="A12" sqref="A12"/>
    </sheetView>
  </sheetViews>
  <sheetFormatPr baseColWidth="10" defaultRowHeight="14.25" x14ac:dyDescent="0.45"/>
  <cols>
    <col min="4" max="4" width="4.19921875" customWidth="1"/>
    <col min="8" max="8" width="4.53125" customWidth="1"/>
  </cols>
  <sheetData>
    <row r="1" spans="1:31" x14ac:dyDescent="0.45">
      <c r="A1" t="s">
        <v>63</v>
      </c>
      <c r="I1" t="s">
        <v>61</v>
      </c>
      <c r="J1" t="s">
        <v>62</v>
      </c>
      <c r="K1" t="s">
        <v>67</v>
      </c>
      <c r="M1" t="s">
        <v>79</v>
      </c>
      <c r="N1" t="s">
        <v>80</v>
      </c>
      <c r="O1" t="s">
        <v>81</v>
      </c>
      <c r="P1" t="s">
        <v>82</v>
      </c>
      <c r="Q1" t="s">
        <v>83</v>
      </c>
    </row>
    <row r="2" spans="1:31" x14ac:dyDescent="0.45">
      <c r="A2" s="4"/>
      <c r="B2" s="5" t="s">
        <v>6</v>
      </c>
      <c r="C2" s="6" t="s">
        <v>8</v>
      </c>
      <c r="E2" s="4" t="s">
        <v>27</v>
      </c>
      <c r="F2" s="5" t="s">
        <v>34</v>
      </c>
      <c r="G2" s="6" t="s">
        <v>77</v>
      </c>
      <c r="I2" s="8"/>
      <c r="J2" s="8"/>
      <c r="K2" s="8"/>
      <c r="N2">
        <v>1</v>
      </c>
      <c r="O2">
        <v>1</v>
      </c>
      <c r="P2">
        <v>1</v>
      </c>
      <c r="Q2">
        <v>1</v>
      </c>
    </row>
    <row r="3" spans="1:31" ht="15.75" x14ac:dyDescent="0.5">
      <c r="A3" s="7" t="s">
        <v>6</v>
      </c>
      <c r="B3" s="7" t="s">
        <v>6</v>
      </c>
      <c r="C3" s="7" t="s">
        <v>6</v>
      </c>
      <c r="D3" s="3"/>
      <c r="E3" s="1" t="s">
        <v>23</v>
      </c>
      <c r="F3" s="1" t="s">
        <v>23</v>
      </c>
      <c r="G3" s="1" t="s">
        <v>23</v>
      </c>
      <c r="I3" s="1">
        <v>0.01</v>
      </c>
      <c r="J3">
        <v>0</v>
      </c>
      <c r="K3">
        <v>0</v>
      </c>
      <c r="M3">
        <v>0</v>
      </c>
      <c r="N3">
        <v>0</v>
      </c>
      <c r="O3">
        <v>0</v>
      </c>
      <c r="P3">
        <v>0</v>
      </c>
      <c r="Q3">
        <v>0</v>
      </c>
    </row>
    <row r="4" spans="1:31" x14ac:dyDescent="0.45">
      <c r="A4" s="7" t="s">
        <v>7</v>
      </c>
      <c r="B4" s="7" t="s">
        <v>7</v>
      </c>
      <c r="C4" s="7" t="s">
        <v>7</v>
      </c>
      <c r="E4" s="2" t="s">
        <v>24</v>
      </c>
      <c r="F4" s="2" t="s">
        <v>24</v>
      </c>
      <c r="G4" s="2" t="s">
        <v>24</v>
      </c>
      <c r="I4">
        <v>0.8</v>
      </c>
      <c r="J4" s="7">
        <v>1</v>
      </c>
      <c r="K4" s="7">
        <v>1</v>
      </c>
      <c r="M4">
        <v>1</v>
      </c>
      <c r="N4">
        <v>1</v>
      </c>
      <c r="O4">
        <v>1</v>
      </c>
      <c r="P4">
        <v>1</v>
      </c>
      <c r="Q4">
        <v>1</v>
      </c>
    </row>
    <row r="5" spans="1:31" x14ac:dyDescent="0.45">
      <c r="A5" s="7" t="s">
        <v>8</v>
      </c>
      <c r="B5" s="7" t="s">
        <v>8</v>
      </c>
      <c r="C5" s="7" t="s">
        <v>8</v>
      </c>
      <c r="E5" s="1" t="s">
        <v>25</v>
      </c>
      <c r="F5" s="1" t="s">
        <v>25</v>
      </c>
      <c r="G5" s="1" t="s">
        <v>29</v>
      </c>
      <c r="M5">
        <v>0.1</v>
      </c>
      <c r="N5">
        <v>0.1</v>
      </c>
      <c r="O5">
        <v>0.1</v>
      </c>
      <c r="P5">
        <v>0.1</v>
      </c>
      <c r="Q5">
        <v>0.1</v>
      </c>
    </row>
    <row r="6" spans="1:31" x14ac:dyDescent="0.45">
      <c r="A6" s="7" t="s">
        <v>9</v>
      </c>
      <c r="B6" s="7" t="s">
        <v>9</v>
      </c>
      <c r="C6" s="7" t="s">
        <v>9</v>
      </c>
      <c r="E6" s="1" t="s">
        <v>27</v>
      </c>
      <c r="F6" s="1" t="s">
        <v>27</v>
      </c>
      <c r="G6" s="1" t="s">
        <v>27</v>
      </c>
    </row>
    <row r="7" spans="1:31" x14ac:dyDescent="0.45">
      <c r="A7" s="7" t="s">
        <v>10</v>
      </c>
      <c r="B7" s="7" t="s">
        <v>10</v>
      </c>
      <c r="C7" s="7" t="s">
        <v>10</v>
      </c>
      <c r="E7" s="2" t="s">
        <v>28</v>
      </c>
      <c r="F7" s="2" t="s">
        <v>28</v>
      </c>
      <c r="G7" s="2" t="s">
        <v>28</v>
      </c>
    </row>
    <row r="8" spans="1:31" ht="15.5" customHeight="1" x14ac:dyDescent="0.45">
      <c r="E8" s="1" t="s">
        <v>77</v>
      </c>
      <c r="F8" s="1" t="s">
        <v>77</v>
      </c>
      <c r="G8" s="1" t="s">
        <v>77</v>
      </c>
    </row>
    <row r="9" spans="1:31" ht="19.25" customHeight="1" x14ac:dyDescent="0.45">
      <c r="E9" s="1" t="s">
        <v>29</v>
      </c>
      <c r="F9" s="1" t="s">
        <v>29</v>
      </c>
      <c r="G9" s="1" t="s">
        <v>29</v>
      </c>
    </row>
    <row r="10" spans="1:31" ht="15.75" customHeight="1" x14ac:dyDescent="0.45">
      <c r="E10" s="1" t="s">
        <v>34</v>
      </c>
      <c r="F10" s="1" t="s">
        <v>34</v>
      </c>
      <c r="G10" s="1" t="s">
        <v>34</v>
      </c>
      <c r="I10" s="1"/>
      <c r="L10" s="1"/>
    </row>
    <row r="11" spans="1:31" x14ac:dyDescent="0.45">
      <c r="E11" s="1" t="s">
        <v>66</v>
      </c>
      <c r="F11" s="1" t="s">
        <v>66</v>
      </c>
      <c r="G11" s="1" t="s">
        <v>66</v>
      </c>
      <c r="L11" s="1"/>
    </row>
    <row r="12" spans="1:31" x14ac:dyDescent="0.45">
      <c r="A12" t="s">
        <v>96</v>
      </c>
    </row>
    <row r="15" spans="1:31" x14ac:dyDescent="0.45">
      <c r="A15" s="9"/>
      <c r="B15" s="9"/>
      <c r="C15" s="10"/>
      <c r="D15" s="9"/>
      <c r="E15" s="10"/>
      <c r="F15" s="9"/>
      <c r="G15" s="10"/>
      <c r="H15" s="9"/>
      <c r="I15" s="10"/>
      <c r="J15" s="9"/>
      <c r="K15" s="10"/>
      <c r="L15" s="9"/>
      <c r="M15" s="10"/>
      <c r="N15" s="9"/>
      <c r="O15" s="10"/>
      <c r="P15" s="9"/>
      <c r="Q15" s="10"/>
      <c r="R15" s="9"/>
      <c r="S15" s="10"/>
      <c r="T15" s="8"/>
      <c r="U15" s="8"/>
      <c r="V15" s="8"/>
      <c r="W15" s="8"/>
      <c r="X15" s="8"/>
      <c r="Y15" s="8"/>
      <c r="Z15" s="8"/>
      <c r="AA15" s="8"/>
      <c r="AB15" s="8"/>
      <c r="AC15" s="8"/>
      <c r="AD15" s="8"/>
      <c r="AE15" s="8"/>
    </row>
    <row r="18" spans="1:8" x14ac:dyDescent="0.45">
      <c r="A18" t="s">
        <v>160</v>
      </c>
      <c r="B18" t="s">
        <v>165</v>
      </c>
      <c r="C18">
        <f>PI()*500^2*2 + 2*PI()*500*20</f>
        <v>1633628.1798666923</v>
      </c>
      <c r="E18" t="s">
        <v>163</v>
      </c>
      <c r="F18">
        <f>6*PI()*35^2</f>
        <v>23090.706003884978</v>
      </c>
      <c r="G18" t="s">
        <v>164</v>
      </c>
      <c r="H18">
        <f>C18/F18</f>
        <v>70.748299319727892</v>
      </c>
    </row>
    <row r="19" spans="1:8" x14ac:dyDescent="0.45">
      <c r="A19" t="s">
        <v>168</v>
      </c>
      <c r="B19" t="s">
        <v>161</v>
      </c>
      <c r="C19">
        <f>PI()*500^2*20</f>
        <v>15707963.267948965</v>
      </c>
    </row>
    <row r="21" spans="1:8" x14ac:dyDescent="0.45">
      <c r="A21" t="s">
        <v>160</v>
      </c>
      <c r="B21" t="s">
        <v>165</v>
      </c>
      <c r="C21">
        <f>PI()*250^2*2 + 2*PI()*250*20</f>
        <v>424115.00823462207</v>
      </c>
      <c r="E21" t="s">
        <v>163</v>
      </c>
      <c r="F21">
        <f>6*PI()*35^2</f>
        <v>23090.706003884978</v>
      </c>
      <c r="G21" t="s">
        <v>164</v>
      </c>
      <c r="H21">
        <f>C21/F21</f>
        <v>18.367346938775512</v>
      </c>
    </row>
    <row r="22" spans="1:8" x14ac:dyDescent="0.45">
      <c r="A22" t="s">
        <v>169</v>
      </c>
      <c r="B22" t="s">
        <v>161</v>
      </c>
      <c r="C22">
        <f>PI()*250^2*20</f>
        <v>3926990.8169872412</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AE95"/>
  <sheetViews>
    <sheetView topLeftCell="B1" zoomScale="90" zoomScaleNormal="90" workbookViewId="0">
      <selection activeCell="E8" sqref="E8"/>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95</v>
      </c>
      <c r="M2" s="11">
        <v>1</v>
      </c>
      <c r="N2" s="11"/>
      <c r="O2" s="11"/>
    </row>
    <row r="3" spans="1:31" s="7" customFormat="1" x14ac:dyDescent="0.45">
      <c r="A3" s="11" t="s">
        <v>1</v>
      </c>
      <c r="B3" s="11" t="s">
        <v>97</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93</v>
      </c>
      <c r="B7" s="11"/>
      <c r="C7" s="12"/>
      <c r="D7" s="11"/>
      <c r="E7" s="12"/>
      <c r="F7" s="11"/>
      <c r="G7" s="12"/>
      <c r="H7" s="11"/>
      <c r="I7" s="11"/>
      <c r="J7" s="11"/>
      <c r="K7" s="11"/>
      <c r="L7" s="11"/>
      <c r="M7" s="11"/>
      <c r="N7" s="11"/>
      <c r="O7" s="11"/>
    </row>
    <row r="8" spans="1:31" s="7" customFormat="1" x14ac:dyDescent="0.45">
      <c r="A8" s="11" t="s">
        <v>117</v>
      </c>
      <c r="B8" s="11" t="s">
        <v>106</v>
      </c>
      <c r="C8" s="12">
        <v>1E-3</v>
      </c>
      <c r="D8" s="11" t="s">
        <v>107</v>
      </c>
      <c r="E8" s="12">
        <v>0.01</v>
      </c>
      <c r="F8" s="11" t="s">
        <v>108</v>
      </c>
      <c r="G8" s="12">
        <v>0</v>
      </c>
      <c r="H8" s="11" t="s">
        <v>89</v>
      </c>
      <c r="I8" s="11">
        <v>0.1</v>
      </c>
      <c r="J8" s="11" t="s">
        <v>34</v>
      </c>
      <c r="K8" s="11">
        <v>0.1</v>
      </c>
      <c r="L8" s="11"/>
      <c r="M8" s="11"/>
      <c r="N8" s="11"/>
      <c r="O8" s="11"/>
    </row>
    <row r="9" spans="1:31" s="7" customFormat="1" x14ac:dyDescent="0.45">
      <c r="A9" s="11" t="s">
        <v>118</v>
      </c>
      <c r="B9" s="11" t="s">
        <v>109</v>
      </c>
      <c r="C9" s="12">
        <v>0</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88</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87</v>
      </c>
      <c r="E25" s="7">
        <v>0</v>
      </c>
      <c r="F25" s="11" t="s">
        <v>76</v>
      </c>
      <c r="G25" s="7">
        <v>0.5</v>
      </c>
      <c r="H25" s="11" t="s">
        <v>106</v>
      </c>
      <c r="I25" s="7">
        <v>0.5</v>
      </c>
      <c r="J25" s="11" t="s">
        <v>107</v>
      </c>
      <c r="K25" s="7">
        <v>0</v>
      </c>
      <c r="L25" s="11" t="s">
        <v>108</v>
      </c>
      <c r="M25" s="7">
        <v>1</v>
      </c>
      <c r="N25" s="11" t="s">
        <v>89</v>
      </c>
      <c r="O25" s="7">
        <v>0.1</v>
      </c>
      <c r="P25" s="11"/>
    </row>
    <row r="26" spans="1:16" s="7" customFormat="1" x14ac:dyDescent="0.45">
      <c r="A26" s="11" t="s">
        <v>26</v>
      </c>
      <c r="B26" s="11" t="s">
        <v>103</v>
      </c>
      <c r="C26" s="11" t="s">
        <v>58</v>
      </c>
      <c r="D26" s="11" t="s">
        <v>78</v>
      </c>
      <c r="E26" s="11" t="s">
        <v>109</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110</v>
      </c>
      <c r="D31" s="11" t="s">
        <v>111</v>
      </c>
      <c r="E31" s="11"/>
      <c r="G31" s="11"/>
      <c r="H31" s="11"/>
      <c r="I31" s="11"/>
      <c r="J31" s="11"/>
      <c r="K31" s="11"/>
      <c r="L31" s="11"/>
      <c r="M31" s="11"/>
      <c r="N31" s="11"/>
      <c r="O31" s="11"/>
    </row>
    <row r="32" spans="1:16" s="7" customFormat="1" x14ac:dyDescent="0.45">
      <c r="A32" s="11" t="s">
        <v>33</v>
      </c>
      <c r="B32" s="11" t="s">
        <v>107</v>
      </c>
      <c r="C32" s="12" t="s">
        <v>85</v>
      </c>
      <c r="D32" s="11"/>
      <c r="F32" s="11"/>
      <c r="G32" s="11"/>
      <c r="H32" s="11"/>
      <c r="I32" s="11"/>
      <c r="J32" s="11"/>
      <c r="K32" s="11"/>
      <c r="L32" s="11"/>
      <c r="M32" s="11"/>
      <c r="N32" s="11"/>
      <c r="O32" s="11"/>
    </row>
    <row r="33" spans="1:15" s="7" customFormat="1" x14ac:dyDescent="0.45">
      <c r="A33" s="11" t="s">
        <v>33</v>
      </c>
      <c r="B33" s="11" t="s">
        <v>87</v>
      </c>
      <c r="C33" s="11" t="s">
        <v>84</v>
      </c>
      <c r="D33" s="11" t="s">
        <v>85</v>
      </c>
      <c r="E33" s="11"/>
      <c r="F33" s="11"/>
      <c r="G33" s="11"/>
      <c r="H33" s="11"/>
      <c r="I33" s="11"/>
      <c r="J33" s="11"/>
      <c r="K33" s="11"/>
      <c r="L33" s="11"/>
      <c r="M33" s="11"/>
      <c r="N33" s="11"/>
      <c r="O33" s="11"/>
    </row>
    <row r="34" spans="1:15" s="7" customFormat="1" x14ac:dyDescent="0.45">
      <c r="A34" s="11" t="s">
        <v>33</v>
      </c>
      <c r="B34" s="11" t="s">
        <v>106</v>
      </c>
      <c r="C34" s="11" t="s">
        <v>84</v>
      </c>
      <c r="D34" s="11" t="s">
        <v>85</v>
      </c>
      <c r="E34" s="11"/>
      <c r="F34" s="11"/>
      <c r="G34" s="11"/>
      <c r="H34" s="11"/>
      <c r="I34" s="11"/>
      <c r="J34" s="11"/>
      <c r="K34" s="11"/>
      <c r="L34" s="11"/>
      <c r="M34" s="11"/>
      <c r="N34" s="11"/>
      <c r="O34" s="11"/>
    </row>
    <row r="35" spans="1:15" s="7" customFormat="1" x14ac:dyDescent="0.45">
      <c r="A35" s="11" t="s">
        <v>33</v>
      </c>
      <c r="B35" s="11" t="s">
        <v>108</v>
      </c>
      <c r="C35" s="11" t="s">
        <v>111</v>
      </c>
      <c r="E35" s="11"/>
      <c r="F35" s="11"/>
      <c r="G35" s="11"/>
      <c r="H35" s="11"/>
      <c r="I35" s="11"/>
      <c r="J35" s="11"/>
      <c r="K35" s="11"/>
      <c r="L35" s="11"/>
      <c r="M35" s="11"/>
      <c r="N35" s="11"/>
      <c r="O35" s="11"/>
    </row>
    <row r="36" spans="1:15" s="7" customFormat="1" x14ac:dyDescent="0.45">
      <c r="A36" s="11" t="s">
        <v>33</v>
      </c>
      <c r="B36" s="11" t="s">
        <v>30</v>
      </c>
      <c r="C36" s="12" t="s">
        <v>86</v>
      </c>
      <c r="D36" s="11"/>
      <c r="E36" s="11"/>
      <c r="F36" s="11"/>
      <c r="G36" s="11"/>
      <c r="H36" s="11"/>
      <c r="I36" s="11"/>
      <c r="J36" s="11"/>
      <c r="K36" s="11"/>
      <c r="L36" s="11"/>
      <c r="M36" s="11"/>
      <c r="N36" s="11"/>
      <c r="O36" s="11"/>
    </row>
    <row r="37" spans="1:15" s="7" customFormat="1" x14ac:dyDescent="0.45">
      <c r="A37" s="7" t="s">
        <v>33</v>
      </c>
      <c r="B37" s="11" t="s">
        <v>89</v>
      </c>
      <c r="C37" s="11" t="s">
        <v>104</v>
      </c>
      <c r="D37" s="11" t="s">
        <v>116</v>
      </c>
      <c r="E37" s="11"/>
      <c r="F37" s="11"/>
      <c r="G37" s="11"/>
      <c r="H37" s="11"/>
      <c r="I37" s="11"/>
      <c r="J37" s="11"/>
      <c r="K37" s="11"/>
      <c r="L37" s="11"/>
      <c r="M37" s="11"/>
      <c r="N37" s="11"/>
      <c r="O37" s="11"/>
    </row>
    <row r="38" spans="1:15" s="7" customFormat="1" x14ac:dyDescent="0.45">
      <c r="A38" s="11" t="s">
        <v>33</v>
      </c>
      <c r="B38" s="11" t="s">
        <v>109</v>
      </c>
      <c r="C38" s="11"/>
      <c r="D38" s="11"/>
      <c r="E38" s="11"/>
      <c r="F38" s="11"/>
      <c r="G38" s="11"/>
      <c r="H38" s="11"/>
      <c r="I38" s="11"/>
      <c r="J38" s="11"/>
      <c r="K38" s="11"/>
      <c r="L38" s="11"/>
      <c r="M38" s="11"/>
      <c r="N38" s="11"/>
      <c r="O38" s="11"/>
    </row>
    <row r="39" spans="1:15" s="7" customFormat="1" x14ac:dyDescent="0.45">
      <c r="A39" s="11" t="s">
        <v>33</v>
      </c>
      <c r="B39" s="11" t="s">
        <v>103</v>
      </c>
      <c r="D39" s="11"/>
      <c r="E39" s="12"/>
      <c r="F39" s="11"/>
      <c r="G39" s="11"/>
      <c r="H39" s="11"/>
      <c r="I39" s="11"/>
      <c r="J39" s="11"/>
      <c r="K39" s="11"/>
      <c r="L39" s="11"/>
      <c r="M39" s="11"/>
      <c r="N39" s="11"/>
      <c r="O39" s="11"/>
    </row>
    <row r="40" spans="1:15" s="7" customFormat="1" x14ac:dyDescent="0.45">
      <c r="A40" s="11" t="s">
        <v>33</v>
      </c>
      <c r="B40" s="11" t="s">
        <v>58</v>
      </c>
      <c r="C40" s="11" t="s">
        <v>86</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98</v>
      </c>
      <c r="B43" s="11" t="s">
        <v>6</v>
      </c>
      <c r="C43" s="12" t="s">
        <v>112</v>
      </c>
      <c r="D43" s="11" t="s">
        <v>7</v>
      </c>
      <c r="E43" s="11" t="s">
        <v>113</v>
      </c>
      <c r="F43" s="11" t="s">
        <v>8</v>
      </c>
      <c r="G43" s="11" t="s">
        <v>114</v>
      </c>
      <c r="H43" s="11" t="s">
        <v>9</v>
      </c>
      <c r="I43" s="11" t="s">
        <v>115</v>
      </c>
      <c r="J43" s="11" t="s">
        <v>10</v>
      </c>
      <c r="K43" s="11" t="s">
        <v>101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106</v>
      </c>
      <c r="D46" s="11" t="s">
        <v>56</v>
      </c>
      <c r="E46" s="11" t="s">
        <v>109</v>
      </c>
      <c r="F46" s="11" t="s">
        <v>57</v>
      </c>
      <c r="G46" s="11" t="s">
        <v>108</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92</v>
      </c>
      <c r="F49" s="11">
        <v>1</v>
      </c>
      <c r="G49" s="11" t="s">
        <v>90</v>
      </c>
      <c r="H49" s="11">
        <v>60</v>
      </c>
      <c r="I49" s="11" t="s">
        <v>91</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103</v>
      </c>
      <c r="D51" s="11">
        <v>0</v>
      </c>
      <c r="E51" s="11" t="s">
        <v>78</v>
      </c>
      <c r="F51" s="11">
        <v>1E-4</v>
      </c>
      <c r="G51" s="11" t="s">
        <v>109</v>
      </c>
      <c r="H51" s="11">
        <v>0</v>
      </c>
      <c r="J51" s="11"/>
      <c r="K51" s="11"/>
      <c r="L51" s="11"/>
      <c r="M51" s="11"/>
      <c r="N51" s="11"/>
      <c r="O51" s="11"/>
    </row>
    <row r="52" spans="1:15" s="7" customFormat="1" x14ac:dyDescent="0.45">
      <c r="A52" s="11" t="s">
        <v>41</v>
      </c>
      <c r="B52" s="11" t="s">
        <v>51</v>
      </c>
      <c r="C52" s="11" t="s">
        <v>34</v>
      </c>
      <c r="D52" s="11">
        <v>0</v>
      </c>
      <c r="E52" s="11" t="s">
        <v>89</v>
      </c>
      <c r="F52" s="11">
        <v>0</v>
      </c>
      <c r="G52" s="11"/>
      <c r="H52" s="11"/>
      <c r="I52" s="11"/>
      <c r="J52" s="11"/>
      <c r="K52" s="11"/>
      <c r="L52" s="11"/>
      <c r="N52" s="11"/>
      <c r="O52" s="11"/>
    </row>
    <row r="53" spans="1:15" s="7" customFormat="1" x14ac:dyDescent="0.45">
      <c r="A53" s="11" t="s">
        <v>43</v>
      </c>
      <c r="B53" s="11" t="s">
        <v>48</v>
      </c>
      <c r="C53" s="12" t="s">
        <v>42</v>
      </c>
      <c r="D53" s="11">
        <v>1000000</v>
      </c>
      <c r="E53" s="11" t="s">
        <v>92</v>
      </c>
      <c r="F53" s="11">
        <v>1</v>
      </c>
      <c r="G53" s="11" t="s">
        <v>90</v>
      </c>
      <c r="H53" s="11">
        <v>30</v>
      </c>
      <c r="I53" s="11" t="s">
        <v>91</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103</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92</v>
      </c>
      <c r="F57" s="11">
        <v>0.5</v>
      </c>
      <c r="G57" s="11" t="s">
        <v>90</v>
      </c>
      <c r="H57" s="11">
        <v>30</v>
      </c>
      <c r="I57" s="11" t="s">
        <v>91</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103</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92</v>
      </c>
      <c r="F61" s="11">
        <v>0</v>
      </c>
      <c r="G61" s="11" t="s">
        <v>90</v>
      </c>
      <c r="H61" s="11">
        <v>200</v>
      </c>
      <c r="I61" s="11" t="s">
        <v>91</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103</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92</v>
      </c>
      <c r="F65" s="11">
        <v>0</v>
      </c>
      <c r="G65" s="11" t="s">
        <v>90</v>
      </c>
      <c r="H65" s="11">
        <v>30</v>
      </c>
      <c r="I65" s="11" t="s">
        <v>91</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103</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92</v>
      </c>
      <c r="F69" s="11">
        <v>0</v>
      </c>
      <c r="G69" s="11" t="s">
        <v>90</v>
      </c>
      <c r="H69" s="11">
        <v>30</v>
      </c>
      <c r="I69" s="11" t="s">
        <v>91</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103</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94</v>
      </c>
      <c r="B73" s="11" t="s">
        <v>48</v>
      </c>
      <c r="C73" s="12" t="s">
        <v>42</v>
      </c>
      <c r="D73" s="11">
        <v>1</v>
      </c>
      <c r="E73" s="11" t="s">
        <v>92</v>
      </c>
      <c r="F73" s="11">
        <v>0</v>
      </c>
      <c r="G73" s="11" t="s">
        <v>90</v>
      </c>
      <c r="H73" s="11">
        <v>200</v>
      </c>
      <c r="I73" s="11" t="s">
        <v>91</v>
      </c>
      <c r="J73" s="11">
        <v>0</v>
      </c>
      <c r="K73" s="11"/>
      <c r="L73" s="11"/>
      <c r="M73" s="11"/>
      <c r="N73" s="11"/>
      <c r="O73" s="11"/>
    </row>
    <row r="74" spans="1:16" s="7" customFormat="1" x14ac:dyDescent="0.45">
      <c r="A74" s="11" t="s">
        <v>94</v>
      </c>
      <c r="B74" s="11" t="s">
        <v>49</v>
      </c>
      <c r="C74" s="12" t="s">
        <v>9</v>
      </c>
      <c r="D74" s="11">
        <v>1</v>
      </c>
      <c r="E74" s="11"/>
      <c r="F74" s="11"/>
      <c r="G74" s="11"/>
      <c r="H74" s="11"/>
      <c r="I74" s="11"/>
      <c r="J74" s="11"/>
      <c r="K74" s="11"/>
      <c r="L74" s="11"/>
      <c r="M74" s="11"/>
      <c r="N74" s="11"/>
      <c r="O74" s="11"/>
    </row>
    <row r="75" spans="1:16" s="7" customFormat="1" x14ac:dyDescent="0.45">
      <c r="A75" s="11" t="s">
        <v>94</v>
      </c>
      <c r="B75" s="11" t="s">
        <v>50</v>
      </c>
      <c r="C75" s="12" t="s">
        <v>103</v>
      </c>
      <c r="D75" s="11">
        <v>1</v>
      </c>
      <c r="E75" s="11" t="s">
        <v>58</v>
      </c>
      <c r="F75" s="11">
        <v>1</v>
      </c>
      <c r="G75" s="11" t="s">
        <v>78</v>
      </c>
      <c r="H75" s="11">
        <v>1E-4</v>
      </c>
      <c r="I75" s="7" t="s">
        <v>105</v>
      </c>
      <c r="J75" s="7">
        <v>1</v>
      </c>
      <c r="L75" s="11"/>
      <c r="M75" s="11"/>
      <c r="N75" s="11"/>
      <c r="O75" s="11"/>
    </row>
    <row r="76" spans="1:16" s="7" customFormat="1" x14ac:dyDescent="0.45">
      <c r="A76" s="11" t="s">
        <v>94</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AE95"/>
  <sheetViews>
    <sheetView zoomScale="90" zoomScaleNormal="90" workbookViewId="0">
      <selection sqref="A1:AF80"/>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95</v>
      </c>
      <c r="M2" s="11">
        <v>1</v>
      </c>
      <c r="N2" s="11"/>
      <c r="O2" s="11"/>
    </row>
    <row r="3" spans="1:31" s="7" customFormat="1" x14ac:dyDescent="0.45">
      <c r="A3" s="11" t="s">
        <v>1</v>
      </c>
      <c r="B3" s="11" t="s">
        <v>97</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93</v>
      </c>
      <c r="B7" s="11"/>
      <c r="C7" s="12"/>
      <c r="D7" s="11"/>
      <c r="E7" s="12"/>
      <c r="F7" s="11"/>
      <c r="G7" s="12"/>
      <c r="H7" s="11"/>
      <c r="I7" s="11"/>
      <c r="J7" s="11"/>
      <c r="K7" s="11"/>
      <c r="L7" s="11"/>
      <c r="M7" s="11"/>
      <c r="N7" s="11"/>
      <c r="O7" s="11"/>
    </row>
    <row r="8" spans="1:31" s="7" customFormat="1" x14ac:dyDescent="0.45">
      <c r="A8" s="11" t="s">
        <v>117</v>
      </c>
      <c r="B8" s="11" t="s">
        <v>106</v>
      </c>
      <c r="C8" s="12">
        <v>1E-3</v>
      </c>
      <c r="D8" s="11" t="s">
        <v>107</v>
      </c>
      <c r="E8" s="12">
        <v>0.01</v>
      </c>
      <c r="F8" s="11" t="s">
        <v>108</v>
      </c>
      <c r="G8" s="12">
        <v>0</v>
      </c>
      <c r="H8" s="11" t="s">
        <v>89</v>
      </c>
      <c r="I8" s="11">
        <v>0.1</v>
      </c>
      <c r="J8" s="11" t="s">
        <v>34</v>
      </c>
      <c r="K8" s="11">
        <v>0.1</v>
      </c>
      <c r="L8" s="11"/>
      <c r="M8" s="11"/>
      <c r="N8" s="11"/>
      <c r="O8" s="11"/>
    </row>
    <row r="9" spans="1:31" s="7" customFormat="1" x14ac:dyDescent="0.45">
      <c r="A9" s="11" t="s">
        <v>118</v>
      </c>
      <c r="B9" s="11" t="s">
        <v>109</v>
      </c>
      <c r="C9" s="12">
        <v>0.1</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88</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87</v>
      </c>
      <c r="E25" s="7">
        <v>0</v>
      </c>
      <c r="F25" s="11" t="s">
        <v>76</v>
      </c>
      <c r="G25" s="7">
        <v>0.5</v>
      </c>
      <c r="H25" s="11" t="s">
        <v>106</v>
      </c>
      <c r="I25" s="7">
        <v>0.5</v>
      </c>
      <c r="J25" s="11" t="s">
        <v>107</v>
      </c>
      <c r="K25" s="7">
        <v>0</v>
      </c>
      <c r="L25" s="11" t="s">
        <v>108</v>
      </c>
      <c r="M25" s="7">
        <v>1</v>
      </c>
      <c r="N25" s="11" t="s">
        <v>89</v>
      </c>
      <c r="O25" s="7">
        <v>0.1</v>
      </c>
      <c r="P25" s="11"/>
    </row>
    <row r="26" spans="1:16" s="7" customFormat="1" x14ac:dyDescent="0.45">
      <c r="A26" s="11" t="s">
        <v>26</v>
      </c>
      <c r="B26" s="11" t="s">
        <v>103</v>
      </c>
      <c r="C26" s="11" t="s">
        <v>58</v>
      </c>
      <c r="D26" s="11" t="s">
        <v>78</v>
      </c>
      <c r="E26" s="11" t="s">
        <v>109</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110</v>
      </c>
      <c r="D31" s="11" t="s">
        <v>111</v>
      </c>
      <c r="E31" s="11"/>
      <c r="G31" s="11"/>
      <c r="H31" s="11"/>
      <c r="I31" s="11"/>
      <c r="J31" s="11"/>
      <c r="K31" s="11"/>
      <c r="L31" s="11"/>
      <c r="M31" s="11"/>
      <c r="N31" s="11"/>
      <c r="O31" s="11"/>
    </row>
    <row r="32" spans="1:16" s="7" customFormat="1" x14ac:dyDescent="0.45">
      <c r="A32" s="11" t="s">
        <v>33</v>
      </c>
      <c r="B32" s="11" t="s">
        <v>107</v>
      </c>
      <c r="C32" s="12" t="s">
        <v>85</v>
      </c>
      <c r="D32" s="11"/>
      <c r="F32" s="11"/>
      <c r="G32" s="11"/>
      <c r="H32" s="11"/>
      <c r="I32" s="11"/>
      <c r="J32" s="11"/>
      <c r="K32" s="11"/>
      <c r="L32" s="11"/>
      <c r="M32" s="11"/>
      <c r="N32" s="11"/>
      <c r="O32" s="11"/>
    </row>
    <row r="33" spans="1:15" s="7" customFormat="1" x14ac:dyDescent="0.45">
      <c r="A33" s="11" t="s">
        <v>33</v>
      </c>
      <c r="B33" s="11" t="s">
        <v>87</v>
      </c>
      <c r="C33" s="11" t="s">
        <v>84</v>
      </c>
      <c r="D33" s="11" t="s">
        <v>85</v>
      </c>
      <c r="E33" s="11"/>
      <c r="F33" s="11"/>
      <c r="G33" s="11"/>
      <c r="H33" s="11"/>
      <c r="I33" s="11"/>
      <c r="J33" s="11"/>
      <c r="K33" s="11"/>
      <c r="L33" s="11"/>
      <c r="M33" s="11"/>
      <c r="N33" s="11"/>
      <c r="O33" s="11"/>
    </row>
    <row r="34" spans="1:15" s="7" customFormat="1" x14ac:dyDescent="0.45">
      <c r="A34" s="11" t="s">
        <v>33</v>
      </c>
      <c r="B34" s="11" t="s">
        <v>106</v>
      </c>
      <c r="C34" s="11" t="s">
        <v>84</v>
      </c>
      <c r="D34" s="11" t="s">
        <v>85</v>
      </c>
      <c r="E34" s="11"/>
      <c r="F34" s="11"/>
      <c r="G34" s="11"/>
      <c r="H34" s="11"/>
      <c r="I34" s="11"/>
      <c r="J34" s="11"/>
      <c r="K34" s="11"/>
      <c r="L34" s="11"/>
      <c r="M34" s="11"/>
      <c r="N34" s="11"/>
      <c r="O34" s="11"/>
    </row>
    <row r="35" spans="1:15" s="7" customFormat="1" x14ac:dyDescent="0.45">
      <c r="A35" s="11" t="s">
        <v>33</v>
      </c>
      <c r="B35" s="11" t="s">
        <v>108</v>
      </c>
      <c r="C35" s="11" t="s">
        <v>111</v>
      </c>
      <c r="E35" s="11"/>
      <c r="F35" s="11"/>
      <c r="G35" s="11"/>
      <c r="H35" s="11"/>
      <c r="I35" s="11"/>
      <c r="J35" s="11"/>
      <c r="K35" s="11"/>
      <c r="L35" s="11"/>
      <c r="M35" s="11"/>
      <c r="N35" s="11"/>
      <c r="O35" s="11"/>
    </row>
    <row r="36" spans="1:15" s="7" customFormat="1" x14ac:dyDescent="0.45">
      <c r="A36" s="11" t="s">
        <v>33</v>
      </c>
      <c r="B36" s="11" t="s">
        <v>30</v>
      </c>
      <c r="C36" s="12" t="s">
        <v>86</v>
      </c>
      <c r="D36" s="11"/>
      <c r="E36" s="11"/>
      <c r="F36" s="11"/>
      <c r="G36" s="11"/>
      <c r="H36" s="11"/>
      <c r="I36" s="11"/>
      <c r="J36" s="11"/>
      <c r="K36" s="11"/>
      <c r="L36" s="11"/>
      <c r="M36" s="11"/>
      <c r="N36" s="11"/>
      <c r="O36" s="11"/>
    </row>
    <row r="37" spans="1:15" s="7" customFormat="1" x14ac:dyDescent="0.45">
      <c r="A37" s="7" t="s">
        <v>33</v>
      </c>
      <c r="B37" s="11" t="s">
        <v>89</v>
      </c>
      <c r="C37" s="11" t="s">
        <v>104</v>
      </c>
      <c r="D37" s="11" t="s">
        <v>116</v>
      </c>
      <c r="E37" s="11"/>
      <c r="F37" s="11"/>
      <c r="G37" s="11"/>
      <c r="H37" s="11"/>
      <c r="I37" s="11"/>
      <c r="J37" s="11"/>
      <c r="K37" s="11"/>
      <c r="L37" s="11"/>
      <c r="M37" s="11"/>
      <c r="N37" s="11"/>
      <c r="O37" s="11"/>
    </row>
    <row r="38" spans="1:15" s="7" customFormat="1" x14ac:dyDescent="0.45">
      <c r="A38" s="11" t="s">
        <v>33</v>
      </c>
      <c r="B38" s="11" t="s">
        <v>109</v>
      </c>
      <c r="C38" s="11"/>
      <c r="D38" s="11"/>
      <c r="E38" s="11"/>
      <c r="F38" s="11"/>
      <c r="G38" s="11"/>
      <c r="H38" s="11"/>
      <c r="I38" s="11"/>
      <c r="J38" s="11"/>
      <c r="K38" s="11"/>
      <c r="L38" s="11"/>
      <c r="M38" s="11"/>
      <c r="N38" s="11"/>
      <c r="O38" s="11"/>
    </row>
    <row r="39" spans="1:15" s="7" customFormat="1" x14ac:dyDescent="0.45">
      <c r="A39" s="11" t="s">
        <v>33</v>
      </c>
      <c r="B39" s="11" t="s">
        <v>103</v>
      </c>
      <c r="D39" s="11"/>
      <c r="E39" s="12"/>
      <c r="F39" s="11"/>
      <c r="G39" s="11"/>
      <c r="H39" s="11"/>
      <c r="I39" s="11"/>
      <c r="J39" s="11"/>
      <c r="K39" s="11"/>
      <c r="L39" s="11"/>
      <c r="M39" s="11"/>
      <c r="N39" s="11"/>
      <c r="O39" s="11"/>
    </row>
    <row r="40" spans="1:15" s="7" customFormat="1" x14ac:dyDescent="0.45">
      <c r="A40" s="11" t="s">
        <v>33</v>
      </c>
      <c r="B40" s="11" t="s">
        <v>58</v>
      </c>
      <c r="C40" s="11" t="s">
        <v>86</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98</v>
      </c>
      <c r="B43" s="11" t="s">
        <v>6</v>
      </c>
      <c r="C43" s="12" t="s">
        <v>112</v>
      </c>
      <c r="D43" s="11" t="s">
        <v>7</v>
      </c>
      <c r="E43" s="11" t="s">
        <v>113</v>
      </c>
      <c r="F43" s="11" t="s">
        <v>8</v>
      </c>
      <c r="G43" s="11" t="s">
        <v>114</v>
      </c>
      <c r="H43" s="11" t="s">
        <v>9</v>
      </c>
      <c r="I43" s="11" t="s">
        <v>115</v>
      </c>
      <c r="J43" s="11" t="s">
        <v>10</v>
      </c>
      <c r="K43" s="11" t="s">
        <v>101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106</v>
      </c>
      <c r="D46" s="11" t="s">
        <v>56</v>
      </c>
      <c r="E46" s="11" t="s">
        <v>109</v>
      </c>
      <c r="F46" s="11" t="s">
        <v>57</v>
      </c>
      <c r="G46" s="11" t="s">
        <v>108</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92</v>
      </c>
      <c r="F49" s="11">
        <v>1</v>
      </c>
      <c r="G49" s="11" t="s">
        <v>90</v>
      </c>
      <c r="H49" s="11">
        <v>60</v>
      </c>
      <c r="I49" s="11" t="s">
        <v>91</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103</v>
      </c>
      <c r="D51" s="11">
        <v>0</v>
      </c>
      <c r="E51" s="11" t="s">
        <v>78</v>
      </c>
      <c r="F51" s="11">
        <v>1E-4</v>
      </c>
      <c r="G51" s="11" t="s">
        <v>109</v>
      </c>
      <c r="H51" s="11">
        <v>0</v>
      </c>
      <c r="J51" s="11"/>
      <c r="K51" s="11"/>
      <c r="L51" s="11"/>
      <c r="M51" s="11"/>
      <c r="N51" s="11"/>
      <c r="O51" s="11"/>
    </row>
    <row r="52" spans="1:15" s="7" customFormat="1" x14ac:dyDescent="0.45">
      <c r="A52" s="11" t="s">
        <v>41</v>
      </c>
      <c r="B52" s="11" t="s">
        <v>51</v>
      </c>
      <c r="C52" s="11" t="s">
        <v>34</v>
      </c>
      <c r="D52" s="11">
        <v>0</v>
      </c>
      <c r="E52" s="11" t="s">
        <v>89</v>
      </c>
      <c r="F52" s="11">
        <v>0</v>
      </c>
      <c r="G52" s="11"/>
      <c r="H52" s="11"/>
      <c r="I52" s="11"/>
      <c r="J52" s="11"/>
      <c r="K52" s="11"/>
      <c r="L52" s="11"/>
      <c r="N52" s="11"/>
      <c r="O52" s="11"/>
    </row>
    <row r="53" spans="1:15" s="7" customFormat="1" x14ac:dyDescent="0.45">
      <c r="A53" s="11" t="s">
        <v>43</v>
      </c>
      <c r="B53" s="11" t="s">
        <v>48</v>
      </c>
      <c r="C53" s="12" t="s">
        <v>42</v>
      </c>
      <c r="D53" s="11">
        <v>1000000</v>
      </c>
      <c r="E53" s="11" t="s">
        <v>92</v>
      </c>
      <c r="F53" s="11">
        <v>1</v>
      </c>
      <c r="G53" s="11" t="s">
        <v>90</v>
      </c>
      <c r="H53" s="11">
        <v>30</v>
      </c>
      <c r="I53" s="11" t="s">
        <v>91</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103</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92</v>
      </c>
      <c r="F57" s="11">
        <v>0.5</v>
      </c>
      <c r="G57" s="11" t="s">
        <v>90</v>
      </c>
      <c r="H57" s="11">
        <v>30</v>
      </c>
      <c r="I57" s="11" t="s">
        <v>91</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103</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92</v>
      </c>
      <c r="F61" s="11">
        <v>0</v>
      </c>
      <c r="G61" s="11" t="s">
        <v>90</v>
      </c>
      <c r="H61" s="11">
        <v>200</v>
      </c>
      <c r="I61" s="11" t="s">
        <v>91</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103</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92</v>
      </c>
      <c r="F65" s="11">
        <v>0</v>
      </c>
      <c r="G65" s="11" t="s">
        <v>90</v>
      </c>
      <c r="H65" s="11">
        <v>30</v>
      </c>
      <c r="I65" s="11" t="s">
        <v>91</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103</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92</v>
      </c>
      <c r="F69" s="11">
        <v>0</v>
      </c>
      <c r="G69" s="11" t="s">
        <v>90</v>
      </c>
      <c r="H69" s="11">
        <v>30</v>
      </c>
      <c r="I69" s="11" t="s">
        <v>91</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103</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94</v>
      </c>
      <c r="B73" s="11" t="s">
        <v>48</v>
      </c>
      <c r="C73" s="12" t="s">
        <v>42</v>
      </c>
      <c r="D73" s="11">
        <v>1</v>
      </c>
      <c r="E73" s="11" t="s">
        <v>92</v>
      </c>
      <c r="F73" s="11">
        <v>0</v>
      </c>
      <c r="G73" s="11" t="s">
        <v>90</v>
      </c>
      <c r="H73" s="11">
        <v>200</v>
      </c>
      <c r="I73" s="11" t="s">
        <v>91</v>
      </c>
      <c r="J73" s="11">
        <v>0</v>
      </c>
      <c r="K73" s="11"/>
      <c r="L73" s="11"/>
      <c r="M73" s="11"/>
      <c r="N73" s="11"/>
      <c r="O73" s="11"/>
    </row>
    <row r="74" spans="1:16" s="7" customFormat="1" x14ac:dyDescent="0.45">
      <c r="A74" s="11" t="s">
        <v>94</v>
      </c>
      <c r="B74" s="11" t="s">
        <v>49</v>
      </c>
      <c r="C74" s="12" t="s">
        <v>9</v>
      </c>
      <c r="D74" s="11">
        <v>1</v>
      </c>
      <c r="E74" s="11"/>
      <c r="F74" s="11"/>
      <c r="G74" s="11"/>
      <c r="H74" s="11"/>
      <c r="I74" s="11"/>
      <c r="J74" s="11"/>
      <c r="K74" s="11"/>
      <c r="L74" s="11"/>
      <c r="M74" s="11"/>
      <c r="N74" s="11"/>
      <c r="O74" s="11"/>
    </row>
    <row r="75" spans="1:16" s="7" customFormat="1" x14ac:dyDescent="0.45">
      <c r="A75" s="11" t="s">
        <v>94</v>
      </c>
      <c r="B75" s="11" t="s">
        <v>50</v>
      </c>
      <c r="C75" s="12" t="s">
        <v>103</v>
      </c>
      <c r="D75" s="11">
        <v>1</v>
      </c>
      <c r="E75" s="11" t="s">
        <v>58</v>
      </c>
      <c r="F75" s="11">
        <v>1</v>
      </c>
      <c r="G75" s="11" t="s">
        <v>78</v>
      </c>
      <c r="H75" s="11">
        <v>1E-4</v>
      </c>
      <c r="I75" s="7" t="s">
        <v>105</v>
      </c>
      <c r="J75" s="7">
        <v>1</v>
      </c>
      <c r="L75" s="11"/>
      <c r="M75" s="11"/>
      <c r="N75" s="11"/>
      <c r="O75" s="11"/>
    </row>
    <row r="76" spans="1:16" s="7" customFormat="1" x14ac:dyDescent="0.45">
      <c r="A76" s="11" t="s">
        <v>94</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AE95"/>
  <sheetViews>
    <sheetView zoomScale="90" zoomScaleNormal="90" workbookViewId="0">
      <selection activeCell="E9" sqref="E9"/>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95</v>
      </c>
      <c r="M2" s="11">
        <v>1</v>
      </c>
      <c r="N2" s="11"/>
      <c r="O2" s="11"/>
    </row>
    <row r="3" spans="1:31" s="7" customFormat="1" x14ac:dyDescent="0.45">
      <c r="A3" s="11" t="s">
        <v>1</v>
      </c>
      <c r="B3" s="11" t="s">
        <v>97</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93</v>
      </c>
      <c r="B7" s="11"/>
      <c r="C7" s="12"/>
      <c r="D7" s="11"/>
      <c r="E7" s="12"/>
      <c r="F7" s="11"/>
      <c r="G7" s="12"/>
      <c r="H7" s="11"/>
      <c r="I7" s="11"/>
      <c r="J7" s="11"/>
      <c r="K7" s="11"/>
      <c r="L7" s="11"/>
      <c r="M7" s="11"/>
      <c r="N7" s="11"/>
      <c r="O7" s="11"/>
    </row>
    <row r="8" spans="1:31" s="7" customFormat="1" x14ac:dyDescent="0.45">
      <c r="A8" s="11" t="s">
        <v>117</v>
      </c>
      <c r="B8" s="11" t="s">
        <v>106</v>
      </c>
      <c r="C8" s="12">
        <v>1.0999999999999999E-2</v>
      </c>
      <c r="D8" s="11" t="s">
        <v>107</v>
      </c>
      <c r="E8" s="12">
        <v>0</v>
      </c>
      <c r="F8" s="11" t="s">
        <v>108</v>
      </c>
      <c r="G8" s="12">
        <v>0</v>
      </c>
      <c r="H8" s="11" t="s">
        <v>89</v>
      </c>
      <c r="I8" s="11">
        <v>0</v>
      </c>
      <c r="J8" s="11" t="s">
        <v>34</v>
      </c>
      <c r="K8" s="11">
        <v>0.1</v>
      </c>
      <c r="L8" s="11"/>
      <c r="M8" s="11"/>
      <c r="N8" s="11"/>
      <c r="O8" s="11"/>
    </row>
    <row r="9" spans="1:31" s="7" customFormat="1" x14ac:dyDescent="0.45">
      <c r="A9" s="11" t="s">
        <v>118</v>
      </c>
      <c r="B9" s="11" t="s">
        <v>109</v>
      </c>
      <c r="C9" s="12">
        <v>0</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88</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87</v>
      </c>
      <c r="E25" s="7">
        <v>0</v>
      </c>
      <c r="F25" s="11" t="s">
        <v>76</v>
      </c>
      <c r="G25" s="7">
        <v>0.5</v>
      </c>
      <c r="H25" s="11" t="s">
        <v>106</v>
      </c>
      <c r="I25" s="7">
        <v>0.5</v>
      </c>
      <c r="J25" s="11" t="s">
        <v>107</v>
      </c>
      <c r="K25" s="7">
        <v>0</v>
      </c>
      <c r="L25" s="11" t="s">
        <v>108</v>
      </c>
      <c r="M25" s="7">
        <v>1</v>
      </c>
      <c r="N25" s="11" t="s">
        <v>89</v>
      </c>
      <c r="O25" s="7">
        <v>0.1</v>
      </c>
      <c r="P25" s="11"/>
    </row>
    <row r="26" spans="1:16" s="7" customFormat="1" x14ac:dyDescent="0.45">
      <c r="A26" s="11" t="s">
        <v>26</v>
      </c>
      <c r="B26" s="11" t="s">
        <v>103</v>
      </c>
      <c r="C26" s="11" t="s">
        <v>58</v>
      </c>
      <c r="D26" s="11" t="s">
        <v>78</v>
      </c>
      <c r="E26" s="11" t="s">
        <v>109</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110</v>
      </c>
      <c r="D31" s="11" t="s">
        <v>111</v>
      </c>
      <c r="E31" s="11"/>
      <c r="G31" s="11"/>
      <c r="H31" s="11"/>
      <c r="I31" s="11"/>
      <c r="J31" s="11"/>
      <c r="K31" s="11"/>
      <c r="L31" s="11"/>
      <c r="M31" s="11"/>
      <c r="N31" s="11"/>
      <c r="O31" s="11"/>
    </row>
    <row r="32" spans="1:16" s="7" customFormat="1" x14ac:dyDescent="0.45">
      <c r="A32" s="11" t="s">
        <v>33</v>
      </c>
      <c r="B32" s="11" t="s">
        <v>107</v>
      </c>
      <c r="C32" s="12" t="s">
        <v>85</v>
      </c>
      <c r="D32" s="11"/>
      <c r="F32" s="11"/>
      <c r="G32" s="11"/>
      <c r="H32" s="11"/>
      <c r="I32" s="11"/>
      <c r="J32" s="11"/>
      <c r="K32" s="11"/>
      <c r="L32" s="11"/>
      <c r="M32" s="11"/>
      <c r="N32" s="11"/>
      <c r="O32" s="11"/>
    </row>
    <row r="33" spans="1:15" s="7" customFormat="1" x14ac:dyDescent="0.45">
      <c r="A33" s="11" t="s">
        <v>33</v>
      </c>
      <c r="B33" s="11" t="s">
        <v>87</v>
      </c>
      <c r="C33" s="11" t="s">
        <v>84</v>
      </c>
      <c r="D33" s="11" t="s">
        <v>85</v>
      </c>
      <c r="E33" s="11"/>
      <c r="F33" s="11"/>
      <c r="G33" s="11"/>
      <c r="H33" s="11"/>
      <c r="I33" s="11"/>
      <c r="J33" s="11"/>
      <c r="K33" s="11"/>
      <c r="L33" s="11"/>
      <c r="M33" s="11"/>
      <c r="N33" s="11"/>
      <c r="O33" s="11"/>
    </row>
    <row r="34" spans="1:15" s="7" customFormat="1" x14ac:dyDescent="0.45">
      <c r="A34" s="11" t="s">
        <v>33</v>
      </c>
      <c r="B34" s="11" t="s">
        <v>106</v>
      </c>
      <c r="C34" s="11" t="s">
        <v>84</v>
      </c>
      <c r="D34" s="11" t="s">
        <v>85</v>
      </c>
      <c r="E34" s="11"/>
      <c r="F34" s="11"/>
      <c r="G34" s="11"/>
      <c r="H34" s="11"/>
      <c r="I34" s="11"/>
      <c r="J34" s="11"/>
      <c r="K34" s="11"/>
      <c r="L34" s="11"/>
      <c r="M34" s="11"/>
      <c r="N34" s="11"/>
      <c r="O34" s="11"/>
    </row>
    <row r="35" spans="1:15" s="7" customFormat="1" x14ac:dyDescent="0.45">
      <c r="A35" s="11" t="s">
        <v>33</v>
      </c>
      <c r="B35" s="11" t="s">
        <v>108</v>
      </c>
      <c r="C35" s="11" t="s">
        <v>111</v>
      </c>
      <c r="E35" s="11"/>
      <c r="F35" s="11"/>
      <c r="G35" s="11"/>
      <c r="H35" s="11"/>
      <c r="I35" s="11"/>
      <c r="J35" s="11"/>
      <c r="K35" s="11"/>
      <c r="L35" s="11"/>
      <c r="M35" s="11"/>
      <c r="N35" s="11"/>
      <c r="O35" s="11"/>
    </row>
    <row r="36" spans="1:15" s="7" customFormat="1" x14ac:dyDescent="0.45">
      <c r="A36" s="11" t="s">
        <v>33</v>
      </c>
      <c r="B36" s="11" t="s">
        <v>30</v>
      </c>
      <c r="C36" s="12" t="s">
        <v>86</v>
      </c>
      <c r="D36" s="11"/>
      <c r="E36" s="11"/>
      <c r="F36" s="11"/>
      <c r="G36" s="11"/>
      <c r="H36" s="11"/>
      <c r="I36" s="11"/>
      <c r="J36" s="11"/>
      <c r="K36" s="11"/>
      <c r="L36" s="11"/>
      <c r="M36" s="11"/>
      <c r="N36" s="11"/>
      <c r="O36" s="11"/>
    </row>
    <row r="37" spans="1:15" s="7" customFormat="1" x14ac:dyDescent="0.45">
      <c r="A37" s="7" t="s">
        <v>33</v>
      </c>
      <c r="B37" s="11" t="s">
        <v>89</v>
      </c>
      <c r="C37" s="11" t="s">
        <v>104</v>
      </c>
      <c r="D37" s="11" t="s">
        <v>116</v>
      </c>
      <c r="E37" s="11"/>
      <c r="F37" s="11"/>
      <c r="G37" s="11"/>
      <c r="H37" s="11"/>
      <c r="I37" s="11"/>
      <c r="J37" s="11"/>
      <c r="K37" s="11"/>
      <c r="L37" s="11"/>
      <c r="M37" s="11"/>
      <c r="N37" s="11"/>
      <c r="O37" s="11"/>
    </row>
    <row r="38" spans="1:15" s="7" customFormat="1" x14ac:dyDescent="0.45">
      <c r="A38" s="11" t="s">
        <v>33</v>
      </c>
      <c r="B38" s="11" t="s">
        <v>109</v>
      </c>
      <c r="C38" s="11"/>
      <c r="D38" s="11"/>
      <c r="E38" s="11"/>
      <c r="F38" s="11"/>
      <c r="G38" s="11"/>
      <c r="H38" s="11"/>
      <c r="I38" s="11"/>
      <c r="J38" s="11"/>
      <c r="K38" s="11"/>
      <c r="L38" s="11"/>
      <c r="M38" s="11"/>
      <c r="N38" s="11"/>
      <c r="O38" s="11"/>
    </row>
    <row r="39" spans="1:15" s="7" customFormat="1" x14ac:dyDescent="0.45">
      <c r="A39" s="11" t="s">
        <v>33</v>
      </c>
      <c r="B39" s="11" t="s">
        <v>103</v>
      </c>
      <c r="D39" s="11"/>
      <c r="E39" s="12"/>
      <c r="F39" s="11"/>
      <c r="G39" s="11"/>
      <c r="H39" s="11"/>
      <c r="I39" s="11"/>
      <c r="J39" s="11"/>
      <c r="K39" s="11"/>
      <c r="L39" s="11"/>
      <c r="M39" s="11"/>
      <c r="N39" s="11"/>
      <c r="O39" s="11"/>
    </row>
    <row r="40" spans="1:15" s="7" customFormat="1" x14ac:dyDescent="0.45">
      <c r="A40" s="11" t="s">
        <v>33</v>
      </c>
      <c r="B40" s="11" t="s">
        <v>58</v>
      </c>
      <c r="C40" s="11" t="s">
        <v>86</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98</v>
      </c>
      <c r="B43" s="11" t="s">
        <v>6</v>
      </c>
      <c r="C43" s="12" t="s">
        <v>112</v>
      </c>
      <c r="D43" s="11" t="s">
        <v>7</v>
      </c>
      <c r="E43" s="11" t="s">
        <v>113</v>
      </c>
      <c r="F43" s="11" t="s">
        <v>8</v>
      </c>
      <c r="G43" s="11" t="s">
        <v>114</v>
      </c>
      <c r="H43" s="11" t="s">
        <v>9</v>
      </c>
      <c r="I43" s="11" t="s">
        <v>115</v>
      </c>
      <c r="J43" s="11" t="s">
        <v>10</v>
      </c>
      <c r="K43" s="11" t="s">
        <v>101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106</v>
      </c>
      <c r="D46" s="11" t="s">
        <v>56</v>
      </c>
      <c r="E46" s="11" t="s">
        <v>109</v>
      </c>
      <c r="F46" s="11" t="s">
        <v>57</v>
      </c>
      <c r="G46" s="11" t="s">
        <v>108</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92</v>
      </c>
      <c r="F49" s="11">
        <v>1</v>
      </c>
      <c r="G49" s="11" t="s">
        <v>90</v>
      </c>
      <c r="H49" s="11">
        <v>60</v>
      </c>
      <c r="I49" s="11" t="s">
        <v>91</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103</v>
      </c>
      <c r="D51" s="11">
        <v>0</v>
      </c>
      <c r="E51" s="11" t="s">
        <v>78</v>
      </c>
      <c r="F51" s="11">
        <v>1E-4</v>
      </c>
      <c r="G51" s="11" t="s">
        <v>109</v>
      </c>
      <c r="H51" s="11">
        <v>0</v>
      </c>
      <c r="J51" s="11"/>
      <c r="K51" s="11"/>
      <c r="L51" s="11"/>
      <c r="M51" s="11"/>
      <c r="N51" s="11"/>
      <c r="O51" s="11"/>
    </row>
    <row r="52" spans="1:15" s="7" customFormat="1" x14ac:dyDescent="0.45">
      <c r="A52" s="11" t="s">
        <v>41</v>
      </c>
      <c r="B52" s="11" t="s">
        <v>51</v>
      </c>
      <c r="C52" s="11" t="s">
        <v>34</v>
      </c>
      <c r="D52" s="11">
        <v>0</v>
      </c>
      <c r="E52" s="11" t="s">
        <v>89</v>
      </c>
      <c r="F52" s="11">
        <v>0</v>
      </c>
      <c r="G52" s="11"/>
      <c r="H52" s="11"/>
      <c r="I52" s="11"/>
      <c r="J52" s="11"/>
      <c r="K52" s="11"/>
      <c r="L52" s="11"/>
      <c r="N52" s="11"/>
      <c r="O52" s="11"/>
    </row>
    <row r="53" spans="1:15" s="7" customFormat="1" x14ac:dyDescent="0.45">
      <c r="A53" s="11" t="s">
        <v>43</v>
      </c>
      <c r="B53" s="11" t="s">
        <v>48</v>
      </c>
      <c r="C53" s="12" t="s">
        <v>42</v>
      </c>
      <c r="D53" s="11">
        <v>1000000</v>
      </c>
      <c r="E53" s="11" t="s">
        <v>92</v>
      </c>
      <c r="F53" s="11">
        <v>1</v>
      </c>
      <c r="G53" s="11" t="s">
        <v>90</v>
      </c>
      <c r="H53" s="11">
        <v>30</v>
      </c>
      <c r="I53" s="11" t="s">
        <v>91</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103</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92</v>
      </c>
      <c r="F57" s="11">
        <v>0.5</v>
      </c>
      <c r="G57" s="11" t="s">
        <v>90</v>
      </c>
      <c r="H57" s="11">
        <v>30</v>
      </c>
      <c r="I57" s="11" t="s">
        <v>91</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103</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92</v>
      </c>
      <c r="F61" s="11">
        <v>0</v>
      </c>
      <c r="G61" s="11" t="s">
        <v>90</v>
      </c>
      <c r="H61" s="11">
        <v>200</v>
      </c>
      <c r="I61" s="11" t="s">
        <v>91</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103</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92</v>
      </c>
      <c r="F65" s="11">
        <v>0</v>
      </c>
      <c r="G65" s="11" t="s">
        <v>90</v>
      </c>
      <c r="H65" s="11">
        <v>30</v>
      </c>
      <c r="I65" s="11" t="s">
        <v>91</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103</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92</v>
      </c>
      <c r="F69" s="11">
        <v>0</v>
      </c>
      <c r="G69" s="11" t="s">
        <v>90</v>
      </c>
      <c r="H69" s="11">
        <v>30</v>
      </c>
      <c r="I69" s="11" t="s">
        <v>91</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103</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94</v>
      </c>
      <c r="B73" s="11" t="s">
        <v>48</v>
      </c>
      <c r="C73" s="12" t="s">
        <v>42</v>
      </c>
      <c r="D73" s="11">
        <v>1</v>
      </c>
      <c r="E73" s="11" t="s">
        <v>92</v>
      </c>
      <c r="F73" s="11">
        <v>0</v>
      </c>
      <c r="G73" s="11" t="s">
        <v>90</v>
      </c>
      <c r="H73" s="11">
        <v>200</v>
      </c>
      <c r="I73" s="11" t="s">
        <v>91</v>
      </c>
      <c r="J73" s="11">
        <v>0</v>
      </c>
      <c r="K73" s="11"/>
      <c r="L73" s="11"/>
      <c r="M73" s="11"/>
      <c r="N73" s="11"/>
      <c r="O73" s="11"/>
    </row>
    <row r="74" spans="1:16" s="7" customFormat="1" x14ac:dyDescent="0.45">
      <c r="A74" s="11" t="s">
        <v>94</v>
      </c>
      <c r="B74" s="11" t="s">
        <v>49</v>
      </c>
      <c r="C74" s="12" t="s">
        <v>9</v>
      </c>
      <c r="D74" s="11">
        <v>1</v>
      </c>
      <c r="E74" s="11"/>
      <c r="F74" s="11"/>
      <c r="G74" s="11"/>
      <c r="H74" s="11"/>
      <c r="I74" s="11"/>
      <c r="J74" s="11"/>
      <c r="K74" s="11"/>
      <c r="L74" s="11"/>
      <c r="M74" s="11"/>
      <c r="N74" s="11"/>
      <c r="O74" s="11"/>
    </row>
    <row r="75" spans="1:16" s="7" customFormat="1" x14ac:dyDescent="0.45">
      <c r="A75" s="11" t="s">
        <v>94</v>
      </c>
      <c r="B75" s="11" t="s">
        <v>50</v>
      </c>
      <c r="C75" s="12" t="s">
        <v>103</v>
      </c>
      <c r="D75" s="11">
        <v>1</v>
      </c>
      <c r="E75" s="11" t="s">
        <v>58</v>
      </c>
      <c r="F75" s="11">
        <v>1</v>
      </c>
      <c r="G75" s="11" t="s">
        <v>78</v>
      </c>
      <c r="H75" s="11">
        <v>1E-4</v>
      </c>
      <c r="I75" s="7" t="s">
        <v>105</v>
      </c>
      <c r="J75" s="7">
        <v>1</v>
      </c>
      <c r="L75" s="11"/>
      <c r="M75" s="11"/>
      <c r="N75" s="11"/>
      <c r="O75" s="11"/>
    </row>
    <row r="76" spans="1:16" s="7" customFormat="1" x14ac:dyDescent="0.45">
      <c r="A76" s="11" t="s">
        <v>94</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2:BM39"/>
  <sheetViews>
    <sheetView zoomScale="80" zoomScaleNormal="80" workbookViewId="0">
      <selection activeCell="A17" sqref="A17:XFD17"/>
    </sheetView>
  </sheetViews>
  <sheetFormatPr baseColWidth="10" defaultRowHeight="14.25" x14ac:dyDescent="0.45"/>
  <cols>
    <col min="1" max="1" width="22.46484375" style="1" customWidth="1"/>
    <col min="2" max="2" width="23.796875" style="1" customWidth="1"/>
    <col min="3" max="3" width="11.46484375" style="2"/>
    <col min="4" max="15" width="11.46484375" style="1"/>
  </cols>
  <sheetData>
    <row r="2" spans="1:65" x14ac:dyDescent="0.45">
      <c r="A2" s="9" t="s">
        <v>13</v>
      </c>
      <c r="B2" s="9" t="s">
        <v>14</v>
      </c>
      <c r="C2" s="10">
        <v>1</v>
      </c>
      <c r="D2" s="9" t="s">
        <v>15</v>
      </c>
      <c r="E2" s="10">
        <v>1</v>
      </c>
      <c r="F2" s="9" t="s">
        <v>16</v>
      </c>
      <c r="G2" s="10">
        <v>1</v>
      </c>
      <c r="H2" s="9" t="s">
        <v>17</v>
      </c>
      <c r="I2" s="10">
        <v>0.1</v>
      </c>
      <c r="J2" s="9" t="s">
        <v>18</v>
      </c>
      <c r="K2" s="10">
        <v>1</v>
      </c>
      <c r="L2" s="9" t="s">
        <v>19</v>
      </c>
      <c r="M2" s="10">
        <v>1</v>
      </c>
      <c r="N2" s="9" t="s">
        <v>71</v>
      </c>
      <c r="O2" s="10">
        <v>1E-3</v>
      </c>
      <c r="P2" s="9" t="s">
        <v>20</v>
      </c>
      <c r="Q2" s="10">
        <v>1E-3</v>
      </c>
      <c r="R2" s="9" t="s">
        <v>70</v>
      </c>
      <c r="S2" s="10">
        <v>0.01</v>
      </c>
      <c r="T2" s="8" t="s">
        <v>60</v>
      </c>
      <c r="U2" s="8">
        <v>0.3</v>
      </c>
      <c r="V2" s="8" t="s">
        <v>72</v>
      </c>
      <c r="W2" s="8">
        <v>0.01</v>
      </c>
      <c r="X2" s="8" t="s">
        <v>73</v>
      </c>
      <c r="Y2" s="8">
        <v>0.01</v>
      </c>
      <c r="Z2" s="8" t="s">
        <v>74</v>
      </c>
      <c r="AA2" s="8">
        <v>0</v>
      </c>
      <c r="AB2" s="8" t="s">
        <v>21</v>
      </c>
      <c r="AC2" s="8">
        <v>1E-3</v>
      </c>
      <c r="AD2" s="8" t="s">
        <v>75</v>
      </c>
      <c r="AE2" s="8">
        <v>1E-3</v>
      </c>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row>
    <row r="3" spans="1:65" x14ac:dyDescent="0.45">
      <c r="A3"/>
      <c r="B3"/>
      <c r="C3"/>
      <c r="D3"/>
      <c r="E3"/>
      <c r="F3"/>
      <c r="G3"/>
      <c r="H3"/>
      <c r="I3"/>
      <c r="J3"/>
      <c r="K3"/>
      <c r="L3"/>
      <c r="M3"/>
      <c r="N3"/>
      <c r="O3"/>
    </row>
    <row r="4" spans="1:65" x14ac:dyDescent="0.45">
      <c r="A4"/>
      <c r="B4" t="s">
        <v>6</v>
      </c>
      <c r="C4" t="s">
        <v>7</v>
      </c>
      <c r="D4" t="s">
        <v>8</v>
      </c>
      <c r="E4" t="s">
        <v>9</v>
      </c>
      <c r="F4" t="s">
        <v>10</v>
      </c>
      <c r="G4"/>
      <c r="H4"/>
      <c r="I4"/>
      <c r="J4"/>
      <c r="K4"/>
      <c r="L4"/>
      <c r="M4"/>
      <c r="N4"/>
      <c r="O4"/>
    </row>
    <row r="5" spans="1:65" x14ac:dyDescent="0.45">
      <c r="A5" t="s">
        <v>6</v>
      </c>
      <c r="B5">
        <v>1</v>
      </c>
      <c r="C5">
        <v>1</v>
      </c>
      <c r="D5">
        <v>1E-3</v>
      </c>
      <c r="E5">
        <v>1E-3</v>
      </c>
      <c r="F5">
        <v>0.01</v>
      </c>
      <c r="G5"/>
      <c r="H5"/>
      <c r="I5"/>
      <c r="J5"/>
      <c r="K5"/>
      <c r="L5"/>
      <c r="M5"/>
      <c r="N5"/>
      <c r="O5"/>
    </row>
    <row r="6" spans="1:65" x14ac:dyDescent="0.45">
      <c r="A6" t="s">
        <v>7</v>
      </c>
      <c r="B6"/>
      <c r="C6">
        <v>1</v>
      </c>
      <c r="D6">
        <v>0.3</v>
      </c>
      <c r="E6">
        <v>0.01</v>
      </c>
      <c r="F6">
        <v>0.01</v>
      </c>
      <c r="G6"/>
      <c r="H6"/>
      <c r="I6"/>
      <c r="J6"/>
      <c r="K6"/>
      <c r="L6"/>
      <c r="M6"/>
      <c r="N6"/>
      <c r="O6"/>
    </row>
    <row r="7" spans="1:65" x14ac:dyDescent="0.45">
      <c r="A7" t="s">
        <v>8</v>
      </c>
      <c r="B7"/>
      <c r="C7"/>
      <c r="D7">
        <v>1</v>
      </c>
      <c r="E7">
        <v>0</v>
      </c>
      <c r="F7">
        <v>1E-3</v>
      </c>
      <c r="G7"/>
      <c r="H7"/>
      <c r="I7"/>
      <c r="J7"/>
      <c r="K7"/>
      <c r="L7"/>
      <c r="M7"/>
      <c r="N7"/>
      <c r="O7"/>
    </row>
    <row r="8" spans="1:65" x14ac:dyDescent="0.45">
      <c r="A8" t="s">
        <v>9</v>
      </c>
      <c r="B8"/>
      <c r="C8"/>
      <c r="D8"/>
      <c r="E8">
        <v>0.1</v>
      </c>
      <c r="F8">
        <v>1E-3</v>
      </c>
      <c r="G8"/>
      <c r="H8"/>
      <c r="I8"/>
      <c r="J8"/>
      <c r="K8"/>
      <c r="L8"/>
      <c r="M8"/>
      <c r="N8"/>
      <c r="O8"/>
    </row>
    <row r="9" spans="1:65" x14ac:dyDescent="0.45">
      <c r="A9" t="s">
        <v>10</v>
      </c>
      <c r="B9"/>
      <c r="C9"/>
      <c r="D9"/>
      <c r="E9"/>
      <c r="F9">
        <v>1</v>
      </c>
      <c r="G9"/>
      <c r="H9"/>
      <c r="I9"/>
      <c r="J9"/>
      <c r="K9"/>
      <c r="L9"/>
      <c r="M9"/>
      <c r="N9"/>
      <c r="O9"/>
    </row>
    <row r="12" spans="1:65" x14ac:dyDescent="0.45">
      <c r="A12" s="9" t="s">
        <v>71</v>
      </c>
      <c r="B12" s="10">
        <v>1E-3</v>
      </c>
      <c r="C12" s="9" t="s">
        <v>20</v>
      </c>
      <c r="D12" s="10">
        <v>1E-3</v>
      </c>
      <c r="E12" s="9" t="s">
        <v>70</v>
      </c>
      <c r="F12" s="10">
        <v>0.01</v>
      </c>
      <c r="G12" s="8" t="s">
        <v>60</v>
      </c>
      <c r="H12" s="8">
        <v>0.3</v>
      </c>
      <c r="I12" s="8" t="s">
        <v>72</v>
      </c>
      <c r="J12" s="8">
        <v>0.01</v>
      </c>
      <c r="K12" s="8" t="s">
        <v>73</v>
      </c>
      <c r="L12" s="8">
        <v>0.01</v>
      </c>
    </row>
    <row r="13" spans="1:65" x14ac:dyDescent="0.45">
      <c r="A13" s="8" t="s">
        <v>74</v>
      </c>
      <c r="B13" s="8">
        <v>0</v>
      </c>
      <c r="C13" s="8" t="s">
        <v>21</v>
      </c>
      <c r="D13" s="8">
        <v>1E-3</v>
      </c>
      <c r="E13" s="8" t="s">
        <v>75</v>
      </c>
      <c r="F13" s="8">
        <v>1E-3</v>
      </c>
    </row>
    <row r="16" spans="1:65" x14ac:dyDescent="0.45">
      <c r="E16" s="2"/>
      <c r="G16" s="2"/>
      <c r="I16" s="2"/>
      <c r="K16" s="2"/>
      <c r="M16" s="2"/>
      <c r="O16" s="2"/>
      <c r="P16" s="1"/>
      <c r="Q16" s="2"/>
      <c r="R16" s="1"/>
      <c r="S16" s="2"/>
    </row>
    <row r="17" spans="1:15" s="7" customFormat="1" x14ac:dyDescent="0.45">
      <c r="A17" s="11" t="s">
        <v>98</v>
      </c>
      <c r="B17" s="11" t="s">
        <v>6</v>
      </c>
      <c r="C17" s="12" t="s">
        <v>145</v>
      </c>
      <c r="D17" s="11" t="s">
        <v>7</v>
      </c>
      <c r="E17" s="11" t="s">
        <v>102</v>
      </c>
      <c r="F17" s="11" t="s">
        <v>8</v>
      </c>
      <c r="G17" s="11" t="s">
        <v>144</v>
      </c>
      <c r="H17" s="11" t="s">
        <v>9</v>
      </c>
      <c r="I17" s="11" t="s">
        <v>100</v>
      </c>
      <c r="J17" s="11" t="s">
        <v>10</v>
      </c>
      <c r="K17" s="11" t="s">
        <v>101</v>
      </c>
      <c r="L17" s="11"/>
      <c r="M17" s="11"/>
      <c r="N17" s="11"/>
      <c r="O17" s="11"/>
    </row>
    <row r="18" spans="1:15" s="7" customFormat="1" x14ac:dyDescent="0.45">
      <c r="A18" s="11" t="s">
        <v>98</v>
      </c>
      <c r="B18" s="11" t="s">
        <v>6</v>
      </c>
      <c r="C18" s="12" t="s">
        <v>149</v>
      </c>
      <c r="D18" s="11" t="s">
        <v>7</v>
      </c>
      <c r="E18" s="11" t="s">
        <v>146</v>
      </c>
      <c r="F18" s="11" t="s">
        <v>8</v>
      </c>
      <c r="G18" s="11" t="s">
        <v>147</v>
      </c>
      <c r="H18" s="11" t="s">
        <v>9</v>
      </c>
      <c r="I18" s="11" t="s">
        <v>148</v>
      </c>
      <c r="J18" s="11" t="s">
        <v>10</v>
      </c>
      <c r="K18" s="11" t="s">
        <v>101</v>
      </c>
      <c r="L18" s="11"/>
      <c r="M18" s="11"/>
      <c r="N18" s="11"/>
      <c r="O18" s="11"/>
    </row>
    <row r="28" spans="1:15" x14ac:dyDescent="0.45">
      <c r="E28" s="2"/>
      <c r="G28" s="2"/>
      <c r="I28" s="2"/>
      <c r="K28" s="2"/>
    </row>
    <row r="39" spans="5:11" x14ac:dyDescent="0.45">
      <c r="E39" s="2"/>
      <c r="G39" s="2"/>
      <c r="I39" s="2"/>
      <c r="K39" s="2"/>
    </row>
  </sheetData>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dimension ref="A1:M91"/>
  <sheetViews>
    <sheetView workbookViewId="0">
      <selection sqref="A1:AF90"/>
    </sheetView>
  </sheetViews>
  <sheetFormatPr baseColWidth="10" defaultRowHeight="14.25" x14ac:dyDescent="0.45"/>
  <cols>
    <col min="1" max="1" width="23.19921875" bestFit="1" customWidth="1"/>
    <col min="2" max="2" width="18.73046875" bestFit="1" customWidth="1"/>
    <col min="3" max="3" width="9.9296875" bestFit="1" customWidth="1"/>
    <col min="4" max="4" width="21.1328125" bestFit="1" customWidth="1"/>
    <col min="5" max="5" width="14.265625" bestFit="1" customWidth="1"/>
    <col min="6" max="6" width="15.1328125" bestFit="1" customWidth="1"/>
    <col min="7" max="7" width="10.1328125" bestFit="1" customWidth="1"/>
    <col min="8" max="8" width="9.1328125" bestFit="1" customWidth="1"/>
    <col min="9" max="9" width="15" bestFit="1" customWidth="1"/>
    <col min="10" max="10" width="8.86328125" bestFit="1" customWidth="1"/>
    <col min="11" max="11" width="7" bestFit="1" customWidth="1"/>
    <col min="12" max="12" width="3.9296875" bestFit="1" customWidth="1"/>
    <col min="13" max="13" width="1.73046875" bestFit="1" customWidth="1"/>
  </cols>
  <sheetData>
    <row r="1" spans="1:13" x14ac:dyDescent="0.45">
      <c r="A1" t="s">
        <v>119</v>
      </c>
    </row>
    <row r="2" spans="1:13" x14ac:dyDescent="0.45">
      <c r="A2" t="s">
        <v>1</v>
      </c>
      <c r="B2" t="s">
        <v>2</v>
      </c>
      <c r="C2">
        <v>35</v>
      </c>
      <c r="D2" t="s">
        <v>64</v>
      </c>
      <c r="E2">
        <v>0.5</v>
      </c>
      <c r="F2" t="s">
        <v>69</v>
      </c>
      <c r="G2">
        <v>0.5</v>
      </c>
      <c r="H2" t="s">
        <v>95</v>
      </c>
      <c r="I2">
        <v>1</v>
      </c>
    </row>
    <row r="3" spans="1:13" x14ac:dyDescent="0.45">
      <c r="A3" t="s">
        <v>1</v>
      </c>
      <c r="B3" t="s">
        <v>97</v>
      </c>
      <c r="C3">
        <v>1</v>
      </c>
      <c r="D3" t="s">
        <v>158</v>
      </c>
      <c r="E3">
        <v>1</v>
      </c>
      <c r="F3" t="s">
        <v>162</v>
      </c>
      <c r="G3">
        <v>0.5</v>
      </c>
    </row>
    <row r="4" spans="1:13" x14ac:dyDescent="0.45">
      <c r="A4" t="s">
        <v>0</v>
      </c>
    </row>
    <row r="5" spans="1:13" x14ac:dyDescent="0.45">
      <c r="A5" t="s">
        <v>133</v>
      </c>
      <c r="B5" t="s">
        <v>128</v>
      </c>
      <c r="C5">
        <v>9000000</v>
      </c>
      <c r="D5" t="s">
        <v>129</v>
      </c>
      <c r="E5">
        <v>7200000000</v>
      </c>
    </row>
    <row r="6" spans="1:13" x14ac:dyDescent="0.45">
      <c r="A6" t="s">
        <v>5</v>
      </c>
      <c r="B6" t="s">
        <v>6</v>
      </c>
      <c r="C6">
        <v>1</v>
      </c>
      <c r="D6" t="s">
        <v>7</v>
      </c>
      <c r="E6">
        <v>1</v>
      </c>
      <c r="F6" t="s">
        <v>8</v>
      </c>
      <c r="G6">
        <v>1</v>
      </c>
      <c r="H6" t="s">
        <v>9</v>
      </c>
      <c r="I6">
        <v>1</v>
      </c>
      <c r="J6" t="s">
        <v>10</v>
      </c>
      <c r="K6">
        <v>1</v>
      </c>
    </row>
    <row r="7" spans="1:13" x14ac:dyDescent="0.45">
      <c r="A7" t="s">
        <v>68</v>
      </c>
    </row>
    <row r="8" spans="1:13" x14ac:dyDescent="0.45">
      <c r="A8" t="s">
        <v>93</v>
      </c>
    </row>
    <row r="9" spans="1:13" x14ac:dyDescent="0.45">
      <c r="A9" t="s">
        <v>134</v>
      </c>
      <c r="B9" t="s">
        <v>11</v>
      </c>
    </row>
    <row r="10" spans="1:13" x14ac:dyDescent="0.45">
      <c r="A10" t="s">
        <v>120</v>
      </c>
    </row>
    <row r="11" spans="1:13" x14ac:dyDescent="0.45">
      <c r="A11" t="s">
        <v>132</v>
      </c>
      <c r="B11" t="s">
        <v>130</v>
      </c>
      <c r="C11">
        <v>2400000</v>
      </c>
      <c r="D11" t="s">
        <v>131</v>
      </c>
      <c r="E11">
        <v>4800000000</v>
      </c>
    </row>
    <row r="12" spans="1:13" x14ac:dyDescent="0.45">
      <c r="A12" t="s">
        <v>117</v>
      </c>
      <c r="B12" t="s">
        <v>150</v>
      </c>
      <c r="C12">
        <v>0</v>
      </c>
      <c r="D12" t="s">
        <v>151</v>
      </c>
      <c r="E12">
        <v>0</v>
      </c>
      <c r="F12" t="s">
        <v>153</v>
      </c>
      <c r="G12">
        <v>0</v>
      </c>
      <c r="H12" t="s">
        <v>135</v>
      </c>
      <c r="I12">
        <v>0</v>
      </c>
      <c r="J12" t="s">
        <v>136</v>
      </c>
      <c r="K12">
        <v>0</v>
      </c>
      <c r="L12" t="s">
        <v>154</v>
      </c>
      <c r="M12">
        <v>0</v>
      </c>
    </row>
    <row r="13" spans="1:13" x14ac:dyDescent="0.45">
      <c r="A13" t="s">
        <v>118</v>
      </c>
    </row>
    <row r="14" spans="1:13" x14ac:dyDescent="0.45">
      <c r="A14" t="s">
        <v>121</v>
      </c>
      <c r="B14" t="s">
        <v>150</v>
      </c>
      <c r="C14">
        <v>0.5</v>
      </c>
      <c r="D14" t="s">
        <v>151</v>
      </c>
      <c r="E14">
        <v>0.5</v>
      </c>
      <c r="F14" t="s">
        <v>153</v>
      </c>
      <c r="G14">
        <v>0.5</v>
      </c>
      <c r="H14" t="s">
        <v>154</v>
      </c>
      <c r="I14">
        <v>0.5</v>
      </c>
    </row>
    <row r="15" spans="1:13" x14ac:dyDescent="0.45">
      <c r="A15" t="s">
        <v>125</v>
      </c>
      <c r="B15" t="s">
        <v>11</v>
      </c>
    </row>
    <row r="16" spans="1:13" x14ac:dyDescent="0.45">
      <c r="A16" t="s">
        <v>11</v>
      </c>
    </row>
    <row r="17" spans="1:11" x14ac:dyDescent="0.45">
      <c r="A17" t="s">
        <v>12</v>
      </c>
    </row>
    <row r="18" spans="1:11" x14ac:dyDescent="0.45">
      <c r="A18" t="s">
        <v>126</v>
      </c>
      <c r="B18" t="s">
        <v>170</v>
      </c>
    </row>
    <row r="19" spans="1:11" x14ac:dyDescent="0.45">
      <c r="A19" t="s">
        <v>171</v>
      </c>
    </row>
    <row r="20" spans="1:11" x14ac:dyDescent="0.45">
      <c r="A20" t="s">
        <v>127</v>
      </c>
      <c r="B20" t="s">
        <v>11</v>
      </c>
    </row>
    <row r="21" spans="1:11" x14ac:dyDescent="0.45">
      <c r="A21" t="s">
        <v>13</v>
      </c>
      <c r="B21" t="s">
        <v>14</v>
      </c>
      <c r="C21">
        <v>0</v>
      </c>
      <c r="D21" t="s">
        <v>140</v>
      </c>
      <c r="E21">
        <v>0</v>
      </c>
    </row>
    <row r="22" spans="1:11" x14ac:dyDescent="0.45">
      <c r="A22" t="s">
        <v>13</v>
      </c>
      <c r="B22" t="s">
        <v>19</v>
      </c>
      <c r="C22">
        <v>1</v>
      </c>
      <c r="D22" t="s">
        <v>15</v>
      </c>
      <c r="E22">
        <v>0</v>
      </c>
      <c r="F22" t="s">
        <v>141</v>
      </c>
      <c r="G22">
        <v>0</v>
      </c>
    </row>
    <row r="23" spans="1:11" x14ac:dyDescent="0.45">
      <c r="A23" t="s">
        <v>13</v>
      </c>
      <c r="B23" t="s">
        <v>71</v>
      </c>
      <c r="C23">
        <v>0</v>
      </c>
      <c r="D23" t="s">
        <v>60</v>
      </c>
      <c r="E23">
        <v>1</v>
      </c>
      <c r="F23" t="s">
        <v>16</v>
      </c>
      <c r="G23">
        <v>0</v>
      </c>
      <c r="H23" t="s">
        <v>142</v>
      </c>
      <c r="I23">
        <v>0</v>
      </c>
    </row>
    <row r="24" spans="1:11" x14ac:dyDescent="0.45">
      <c r="A24" t="s">
        <v>13</v>
      </c>
      <c r="B24" t="s">
        <v>20</v>
      </c>
      <c r="C24">
        <v>0</v>
      </c>
      <c r="D24" t="s">
        <v>72</v>
      </c>
      <c r="E24">
        <v>0</v>
      </c>
      <c r="F24" t="s">
        <v>74</v>
      </c>
      <c r="G24">
        <v>1</v>
      </c>
      <c r="H24" t="s">
        <v>17</v>
      </c>
      <c r="I24">
        <v>0</v>
      </c>
      <c r="J24" t="s">
        <v>143</v>
      </c>
      <c r="K24">
        <v>0</v>
      </c>
    </row>
    <row r="25" spans="1:11" x14ac:dyDescent="0.45">
      <c r="A25" t="s">
        <v>13</v>
      </c>
      <c r="B25" t="s">
        <v>70</v>
      </c>
      <c r="C25">
        <v>0</v>
      </c>
      <c r="D25" t="s">
        <v>73</v>
      </c>
      <c r="E25">
        <v>0</v>
      </c>
      <c r="F25" t="s">
        <v>21</v>
      </c>
      <c r="G25">
        <v>0</v>
      </c>
      <c r="H25" t="s">
        <v>75</v>
      </c>
      <c r="I25">
        <v>1</v>
      </c>
      <c r="J25" t="s">
        <v>18</v>
      </c>
      <c r="K25">
        <v>0</v>
      </c>
    </row>
    <row r="26" spans="1:11" x14ac:dyDescent="0.45">
      <c r="A26" t="s">
        <v>11</v>
      </c>
    </row>
    <row r="27" spans="1:11" x14ac:dyDescent="0.45">
      <c r="A27" t="s">
        <v>11</v>
      </c>
    </row>
    <row r="28" spans="1:11" x14ac:dyDescent="0.45">
      <c r="A28" t="s">
        <v>11</v>
      </c>
    </row>
    <row r="29" spans="1:11" x14ac:dyDescent="0.45">
      <c r="A29" t="s">
        <v>88</v>
      </c>
    </row>
    <row r="30" spans="1:11" x14ac:dyDescent="0.45">
      <c r="A30" t="s">
        <v>31</v>
      </c>
      <c r="B30" t="s">
        <v>6</v>
      </c>
      <c r="C30" t="s">
        <v>7</v>
      </c>
      <c r="D30" t="s">
        <v>8</v>
      </c>
      <c r="E30" t="s">
        <v>9</v>
      </c>
      <c r="F30" t="s">
        <v>10</v>
      </c>
    </row>
    <row r="31" spans="1:11" x14ac:dyDescent="0.45">
      <c r="A31" t="s">
        <v>32</v>
      </c>
      <c r="B31" t="s">
        <v>6</v>
      </c>
      <c r="C31">
        <v>1</v>
      </c>
      <c r="D31" t="s">
        <v>7</v>
      </c>
      <c r="E31">
        <v>1</v>
      </c>
      <c r="F31" t="s">
        <v>8</v>
      </c>
      <c r="G31">
        <v>1</v>
      </c>
      <c r="H31" t="s">
        <v>9</v>
      </c>
      <c r="I31">
        <v>1</v>
      </c>
      <c r="J31" t="s">
        <v>10</v>
      </c>
      <c r="K31">
        <v>1</v>
      </c>
    </row>
    <row r="32" spans="1:11" x14ac:dyDescent="0.45">
      <c r="A32" t="s">
        <v>122</v>
      </c>
      <c r="B32" t="s">
        <v>6</v>
      </c>
      <c r="C32">
        <v>-1</v>
      </c>
      <c r="D32" t="s">
        <v>7</v>
      </c>
      <c r="E32">
        <v>-1</v>
      </c>
      <c r="F32" t="s">
        <v>8</v>
      </c>
      <c r="G32">
        <v>-1</v>
      </c>
      <c r="H32" t="s">
        <v>9</v>
      </c>
      <c r="I32">
        <v>-1</v>
      </c>
      <c r="J32" t="s">
        <v>10</v>
      </c>
      <c r="K32">
        <v>-1</v>
      </c>
    </row>
    <row r="33" spans="1:11" x14ac:dyDescent="0.45">
      <c r="A33" t="s">
        <v>123</v>
      </c>
      <c r="B33" t="s">
        <v>6</v>
      </c>
      <c r="C33">
        <v>-1</v>
      </c>
      <c r="D33" t="s">
        <v>7</v>
      </c>
      <c r="E33">
        <v>-1</v>
      </c>
      <c r="F33" t="s">
        <v>8</v>
      </c>
      <c r="G33">
        <v>-1</v>
      </c>
      <c r="H33" t="s">
        <v>9</v>
      </c>
      <c r="I33">
        <v>-1</v>
      </c>
      <c r="J33" t="s">
        <v>10</v>
      </c>
      <c r="K33">
        <v>-1</v>
      </c>
    </row>
    <row r="34" spans="1:11" x14ac:dyDescent="0.45">
      <c r="A34" t="s">
        <v>65</v>
      </c>
      <c r="B34" t="s">
        <v>6</v>
      </c>
      <c r="C34">
        <v>0</v>
      </c>
      <c r="D34" t="s">
        <v>7</v>
      </c>
      <c r="E34">
        <v>0</v>
      </c>
      <c r="F34" t="s">
        <v>8</v>
      </c>
      <c r="G34">
        <v>0</v>
      </c>
      <c r="H34" t="s">
        <v>9</v>
      </c>
      <c r="I34">
        <v>0</v>
      </c>
      <c r="J34" t="s">
        <v>10</v>
      </c>
      <c r="K34">
        <v>0</v>
      </c>
    </row>
    <row r="35" spans="1:11" x14ac:dyDescent="0.45">
      <c r="A35" t="s">
        <v>98</v>
      </c>
      <c r="B35" t="s">
        <v>6</v>
      </c>
      <c r="C35" t="s">
        <v>172</v>
      </c>
      <c r="D35" t="s">
        <v>7</v>
      </c>
      <c r="E35" t="s">
        <v>99</v>
      </c>
      <c r="F35" t="s">
        <v>8</v>
      </c>
      <c r="G35" t="s">
        <v>144</v>
      </c>
      <c r="H35" t="s">
        <v>9</v>
      </c>
      <c r="I35" t="s">
        <v>100</v>
      </c>
      <c r="J35" t="s">
        <v>10</v>
      </c>
      <c r="K35" t="s">
        <v>159</v>
      </c>
    </row>
    <row r="36" spans="1:11" x14ac:dyDescent="0.45">
      <c r="A36" t="s">
        <v>22</v>
      </c>
      <c r="B36" t="s">
        <v>173</v>
      </c>
      <c r="C36" t="s">
        <v>174</v>
      </c>
      <c r="D36" t="s">
        <v>175</v>
      </c>
      <c r="E36" t="s">
        <v>176</v>
      </c>
      <c r="F36" t="s">
        <v>177</v>
      </c>
      <c r="G36" t="s">
        <v>178</v>
      </c>
      <c r="H36" t="s">
        <v>179</v>
      </c>
      <c r="I36" t="s">
        <v>87</v>
      </c>
    </row>
    <row r="37" spans="1:11" x14ac:dyDescent="0.45">
      <c r="A37" t="s">
        <v>26</v>
      </c>
      <c r="B37" t="s">
        <v>180</v>
      </c>
      <c r="C37" t="s">
        <v>181</v>
      </c>
      <c r="D37" t="s">
        <v>58</v>
      </c>
      <c r="E37" t="s">
        <v>78</v>
      </c>
    </row>
    <row r="38" spans="1:11" x14ac:dyDescent="0.45">
      <c r="A38" t="s">
        <v>33</v>
      </c>
      <c r="B38" t="s">
        <v>173</v>
      </c>
      <c r="C38" t="s">
        <v>86</v>
      </c>
    </row>
    <row r="39" spans="1:11" x14ac:dyDescent="0.45">
      <c r="A39" t="s">
        <v>33</v>
      </c>
      <c r="B39" t="s">
        <v>174</v>
      </c>
    </row>
    <row r="40" spans="1:11" x14ac:dyDescent="0.45">
      <c r="A40" t="s">
        <v>33</v>
      </c>
      <c r="B40" t="s">
        <v>175</v>
      </c>
      <c r="C40" t="s">
        <v>104</v>
      </c>
    </row>
    <row r="41" spans="1:11" x14ac:dyDescent="0.45">
      <c r="A41" t="s">
        <v>33</v>
      </c>
      <c r="B41" t="s">
        <v>176</v>
      </c>
      <c r="C41" t="s">
        <v>85</v>
      </c>
    </row>
    <row r="42" spans="1:11" x14ac:dyDescent="0.45">
      <c r="A42" t="s">
        <v>33</v>
      </c>
      <c r="B42" t="s">
        <v>177</v>
      </c>
      <c r="C42" t="s">
        <v>166</v>
      </c>
    </row>
    <row r="43" spans="1:11" x14ac:dyDescent="0.45">
      <c r="A43" t="s">
        <v>33</v>
      </c>
      <c r="B43" t="s">
        <v>178</v>
      </c>
      <c r="C43" t="s">
        <v>86</v>
      </c>
    </row>
    <row r="44" spans="1:11" x14ac:dyDescent="0.45">
      <c r="A44" t="s">
        <v>33</v>
      </c>
      <c r="B44" t="s">
        <v>179</v>
      </c>
      <c r="C44" t="s">
        <v>167</v>
      </c>
    </row>
    <row r="45" spans="1:11" x14ac:dyDescent="0.45">
      <c r="A45" t="s">
        <v>33</v>
      </c>
      <c r="B45" t="s">
        <v>87</v>
      </c>
      <c r="C45" t="s">
        <v>86</v>
      </c>
    </row>
    <row r="46" spans="1:11" x14ac:dyDescent="0.45">
      <c r="A46" t="s">
        <v>33</v>
      </c>
      <c r="B46" t="s">
        <v>180</v>
      </c>
      <c r="C46" t="s">
        <v>86</v>
      </c>
    </row>
    <row r="47" spans="1:11" x14ac:dyDescent="0.45">
      <c r="A47" t="s">
        <v>33</v>
      </c>
      <c r="B47" t="s">
        <v>181</v>
      </c>
    </row>
    <row r="48" spans="1:11" x14ac:dyDescent="0.45">
      <c r="A48" t="s">
        <v>33</v>
      </c>
      <c r="B48" t="s">
        <v>58</v>
      </c>
    </row>
    <row r="49" spans="1:10" x14ac:dyDescent="0.45">
      <c r="A49" t="s">
        <v>11</v>
      </c>
    </row>
    <row r="50" spans="1:10" x14ac:dyDescent="0.45">
      <c r="A50" t="s">
        <v>11</v>
      </c>
    </row>
    <row r="51" spans="1:10" x14ac:dyDescent="0.45">
      <c r="A51" t="s">
        <v>11</v>
      </c>
    </row>
    <row r="52" spans="1:10" x14ac:dyDescent="0.45">
      <c r="A52" t="s">
        <v>11</v>
      </c>
    </row>
    <row r="53" spans="1:10" x14ac:dyDescent="0.45">
      <c r="A53" t="s">
        <v>11</v>
      </c>
    </row>
    <row r="54" spans="1:10" x14ac:dyDescent="0.45">
      <c r="A54" t="s">
        <v>11</v>
      </c>
    </row>
    <row r="55" spans="1:10" x14ac:dyDescent="0.45">
      <c r="A55" t="s">
        <v>54</v>
      </c>
      <c r="B55" t="s">
        <v>55</v>
      </c>
      <c r="C55" t="s">
        <v>103</v>
      </c>
      <c r="D55" t="s">
        <v>56</v>
      </c>
      <c r="E55" t="s">
        <v>105</v>
      </c>
      <c r="F55" t="s">
        <v>57</v>
      </c>
      <c r="G55" t="s">
        <v>153</v>
      </c>
    </row>
    <row r="56" spans="1:10" x14ac:dyDescent="0.45">
      <c r="A56" t="s">
        <v>52</v>
      </c>
    </row>
    <row r="57" spans="1:10" x14ac:dyDescent="0.45">
      <c r="A57" t="s">
        <v>95</v>
      </c>
      <c r="B57" t="s">
        <v>36</v>
      </c>
      <c r="C57" t="s">
        <v>37</v>
      </c>
      <c r="D57" t="s">
        <v>38</v>
      </c>
      <c r="E57" t="s">
        <v>39</v>
      </c>
      <c r="F57" t="s">
        <v>38</v>
      </c>
      <c r="G57" t="s">
        <v>40</v>
      </c>
      <c r="H57" t="s">
        <v>38</v>
      </c>
      <c r="I57" t="s">
        <v>47</v>
      </c>
      <c r="J57" t="s">
        <v>38</v>
      </c>
    </row>
    <row r="58" spans="1:10" x14ac:dyDescent="0.45">
      <c r="A58" t="s">
        <v>41</v>
      </c>
      <c r="B58" t="s">
        <v>48</v>
      </c>
      <c r="C58" t="s">
        <v>42</v>
      </c>
      <c r="D58">
        <v>20000</v>
      </c>
      <c r="E58" t="s">
        <v>92</v>
      </c>
      <c r="F58">
        <v>0</v>
      </c>
      <c r="G58" t="s">
        <v>90</v>
      </c>
      <c r="H58">
        <v>500</v>
      </c>
      <c r="I58" t="s">
        <v>91</v>
      </c>
      <c r="J58">
        <v>10</v>
      </c>
    </row>
    <row r="59" spans="1:10" x14ac:dyDescent="0.45">
      <c r="A59" t="s">
        <v>41</v>
      </c>
      <c r="B59" t="s">
        <v>49</v>
      </c>
      <c r="C59" t="s">
        <v>6</v>
      </c>
      <c r="D59">
        <v>1</v>
      </c>
    </row>
    <row r="60" spans="1:10" x14ac:dyDescent="0.45">
      <c r="A60" t="s">
        <v>41</v>
      </c>
      <c r="B60" t="s">
        <v>50</v>
      </c>
    </row>
    <row r="61" spans="1:10" x14ac:dyDescent="0.45">
      <c r="A61" t="s">
        <v>41</v>
      </c>
      <c r="B61" t="s">
        <v>51</v>
      </c>
    </row>
    <row r="62" spans="1:10" x14ac:dyDescent="0.45">
      <c r="A62" t="s">
        <v>43</v>
      </c>
      <c r="B62" t="s">
        <v>48</v>
      </c>
      <c r="C62" t="s">
        <v>42</v>
      </c>
      <c r="D62">
        <v>1</v>
      </c>
      <c r="E62" t="s">
        <v>92</v>
      </c>
      <c r="F62">
        <v>0</v>
      </c>
      <c r="G62" t="s">
        <v>90</v>
      </c>
      <c r="H62">
        <v>60</v>
      </c>
      <c r="I62" t="s">
        <v>91</v>
      </c>
      <c r="J62">
        <v>10</v>
      </c>
    </row>
    <row r="63" spans="1:10" x14ac:dyDescent="0.45">
      <c r="A63" t="s">
        <v>43</v>
      </c>
      <c r="B63" t="s">
        <v>49</v>
      </c>
      <c r="C63" t="s">
        <v>7</v>
      </c>
      <c r="D63">
        <v>1</v>
      </c>
    </row>
    <row r="64" spans="1:10" x14ac:dyDescent="0.45">
      <c r="A64" t="s">
        <v>43</v>
      </c>
      <c r="B64" t="s">
        <v>50</v>
      </c>
      <c r="C64" t="s">
        <v>103</v>
      </c>
      <c r="D64">
        <v>0</v>
      </c>
      <c r="E64" t="s">
        <v>58</v>
      </c>
      <c r="F64">
        <v>0</v>
      </c>
      <c r="G64" t="s">
        <v>78</v>
      </c>
      <c r="H64">
        <v>1E-4</v>
      </c>
      <c r="I64" t="s">
        <v>105</v>
      </c>
      <c r="J64">
        <v>0</v>
      </c>
    </row>
    <row r="65" spans="1:10" x14ac:dyDescent="0.45">
      <c r="A65" t="s">
        <v>43</v>
      </c>
      <c r="B65" t="s">
        <v>51</v>
      </c>
      <c r="C65" t="s">
        <v>154</v>
      </c>
      <c r="D65">
        <v>0.5</v>
      </c>
      <c r="E65" t="s">
        <v>153</v>
      </c>
      <c r="F65">
        <v>0</v>
      </c>
      <c r="G65" t="s">
        <v>150</v>
      </c>
      <c r="H65">
        <v>0</v>
      </c>
      <c r="I65" t="s">
        <v>87</v>
      </c>
      <c r="J65">
        <v>0</v>
      </c>
    </row>
    <row r="66" spans="1:10" x14ac:dyDescent="0.45">
      <c r="A66" t="s">
        <v>44</v>
      </c>
      <c r="B66" t="s">
        <v>48</v>
      </c>
      <c r="C66" t="s">
        <v>42</v>
      </c>
      <c r="D66">
        <v>1</v>
      </c>
      <c r="E66" t="s">
        <v>92</v>
      </c>
      <c r="F66">
        <v>0</v>
      </c>
      <c r="G66" t="s">
        <v>90</v>
      </c>
      <c r="H66">
        <v>60</v>
      </c>
      <c r="I66" t="s">
        <v>91</v>
      </c>
      <c r="J66">
        <v>10</v>
      </c>
    </row>
    <row r="67" spans="1:10" x14ac:dyDescent="0.45">
      <c r="A67" t="s">
        <v>44</v>
      </c>
      <c r="B67" t="s">
        <v>49</v>
      </c>
      <c r="C67" t="s">
        <v>8</v>
      </c>
      <c r="D67">
        <v>1</v>
      </c>
    </row>
    <row r="68" spans="1:10" x14ac:dyDescent="0.45">
      <c r="A68" t="s">
        <v>44</v>
      </c>
      <c r="B68" t="s">
        <v>50</v>
      </c>
      <c r="C68" t="s">
        <v>103</v>
      </c>
      <c r="D68">
        <v>0</v>
      </c>
      <c r="E68" t="s">
        <v>78</v>
      </c>
      <c r="F68">
        <v>1E-4</v>
      </c>
    </row>
    <row r="69" spans="1:10" x14ac:dyDescent="0.45">
      <c r="A69" t="s">
        <v>44</v>
      </c>
      <c r="B69" t="s">
        <v>51</v>
      </c>
      <c r="C69" t="s">
        <v>154</v>
      </c>
      <c r="D69">
        <v>0.5</v>
      </c>
      <c r="E69" t="s">
        <v>153</v>
      </c>
      <c r="F69">
        <v>0</v>
      </c>
      <c r="G69" t="s">
        <v>151</v>
      </c>
      <c r="H69">
        <v>0</v>
      </c>
    </row>
    <row r="70" spans="1:10" x14ac:dyDescent="0.45">
      <c r="A70" t="s">
        <v>45</v>
      </c>
      <c r="B70" t="s">
        <v>48</v>
      </c>
      <c r="C70" t="s">
        <v>42</v>
      </c>
      <c r="D70">
        <v>1</v>
      </c>
      <c r="E70" t="s">
        <v>92</v>
      </c>
      <c r="F70">
        <v>0</v>
      </c>
      <c r="G70" t="s">
        <v>90</v>
      </c>
      <c r="H70">
        <v>60</v>
      </c>
      <c r="I70" t="s">
        <v>91</v>
      </c>
      <c r="J70">
        <v>10</v>
      </c>
    </row>
    <row r="71" spans="1:10" x14ac:dyDescent="0.45">
      <c r="A71" t="s">
        <v>45</v>
      </c>
      <c r="B71" t="s">
        <v>49</v>
      </c>
      <c r="C71" t="s">
        <v>9</v>
      </c>
      <c r="D71">
        <v>1</v>
      </c>
    </row>
    <row r="72" spans="1:10" x14ac:dyDescent="0.45">
      <c r="A72" t="s">
        <v>45</v>
      </c>
      <c r="B72" t="s">
        <v>50</v>
      </c>
      <c r="C72" t="s">
        <v>103</v>
      </c>
      <c r="D72">
        <v>0</v>
      </c>
      <c r="E72" t="s">
        <v>78</v>
      </c>
      <c r="F72">
        <v>1E-4</v>
      </c>
    </row>
    <row r="73" spans="1:10" x14ac:dyDescent="0.45">
      <c r="A73" t="s">
        <v>45</v>
      </c>
      <c r="B73" t="s">
        <v>51</v>
      </c>
      <c r="C73" t="s">
        <v>151</v>
      </c>
      <c r="D73">
        <v>0</v>
      </c>
      <c r="E73" t="s">
        <v>152</v>
      </c>
      <c r="F73">
        <v>0</v>
      </c>
      <c r="G73" t="s">
        <v>154</v>
      </c>
      <c r="H73">
        <v>1</v>
      </c>
      <c r="I73" t="s">
        <v>153</v>
      </c>
      <c r="J73">
        <v>0</v>
      </c>
    </row>
    <row r="74" spans="1:10" x14ac:dyDescent="0.45">
      <c r="A74" t="s">
        <v>46</v>
      </c>
      <c r="B74" t="s">
        <v>48</v>
      </c>
      <c r="C74" t="s">
        <v>42</v>
      </c>
      <c r="D74">
        <v>1</v>
      </c>
      <c r="E74" t="s">
        <v>92</v>
      </c>
      <c r="F74">
        <v>0</v>
      </c>
      <c r="G74" t="s">
        <v>90</v>
      </c>
      <c r="H74">
        <v>60</v>
      </c>
      <c r="I74" t="s">
        <v>91</v>
      </c>
      <c r="J74">
        <v>2</v>
      </c>
    </row>
    <row r="75" spans="1:10" x14ac:dyDescent="0.45">
      <c r="A75" t="s">
        <v>46</v>
      </c>
      <c r="B75" t="s">
        <v>49</v>
      </c>
      <c r="C75" t="s">
        <v>10</v>
      </c>
      <c r="D75">
        <v>1</v>
      </c>
    </row>
    <row r="76" spans="1:10" x14ac:dyDescent="0.45">
      <c r="A76" t="s">
        <v>46</v>
      </c>
      <c r="B76" t="s">
        <v>50</v>
      </c>
      <c r="C76" t="s">
        <v>103</v>
      </c>
      <c r="D76">
        <v>0</v>
      </c>
      <c r="E76" t="s">
        <v>78</v>
      </c>
      <c r="F76">
        <v>1E-4</v>
      </c>
    </row>
    <row r="77" spans="1:10" x14ac:dyDescent="0.45">
      <c r="A77" t="s">
        <v>46</v>
      </c>
      <c r="B77" t="s">
        <v>51</v>
      </c>
      <c r="C77" t="s">
        <v>150</v>
      </c>
      <c r="D77">
        <v>0</v>
      </c>
      <c r="E77" t="s">
        <v>154</v>
      </c>
      <c r="F77">
        <v>0</v>
      </c>
      <c r="G77" t="s">
        <v>153</v>
      </c>
      <c r="H77">
        <v>0</v>
      </c>
    </row>
    <row r="78" spans="1:10" x14ac:dyDescent="0.45">
      <c r="A78" t="s">
        <v>59</v>
      </c>
      <c r="B78" t="s">
        <v>48</v>
      </c>
      <c r="C78" t="s">
        <v>42</v>
      </c>
      <c r="D78">
        <v>1</v>
      </c>
      <c r="E78" t="s">
        <v>92</v>
      </c>
      <c r="F78">
        <v>0</v>
      </c>
      <c r="G78" t="s">
        <v>90</v>
      </c>
      <c r="H78">
        <v>30</v>
      </c>
      <c r="I78" t="s">
        <v>91</v>
      </c>
      <c r="J78">
        <v>2</v>
      </c>
    </row>
    <row r="79" spans="1:10" x14ac:dyDescent="0.45">
      <c r="A79" t="s">
        <v>59</v>
      </c>
      <c r="B79" t="s">
        <v>49</v>
      </c>
      <c r="C79" t="s">
        <v>9</v>
      </c>
      <c r="D79">
        <v>1</v>
      </c>
    </row>
    <row r="80" spans="1:10" x14ac:dyDescent="0.45">
      <c r="A80" t="s">
        <v>59</v>
      </c>
      <c r="B80" t="s">
        <v>50</v>
      </c>
      <c r="C80" t="s">
        <v>103</v>
      </c>
      <c r="D80">
        <v>0</v>
      </c>
      <c r="E80" t="s">
        <v>78</v>
      </c>
      <c r="F80">
        <v>1E-4</v>
      </c>
    </row>
    <row r="81" spans="1:10" x14ac:dyDescent="0.45">
      <c r="A81" t="s">
        <v>59</v>
      </c>
      <c r="B81" t="s">
        <v>51</v>
      </c>
      <c r="C81" t="s">
        <v>154</v>
      </c>
      <c r="D81">
        <v>0</v>
      </c>
    </row>
    <row r="82" spans="1:10" x14ac:dyDescent="0.45">
      <c r="A82" t="s">
        <v>124</v>
      </c>
      <c r="B82" t="s">
        <v>48</v>
      </c>
      <c r="C82" t="s">
        <v>42</v>
      </c>
      <c r="D82">
        <v>1</v>
      </c>
      <c r="E82" t="s">
        <v>92</v>
      </c>
      <c r="F82">
        <v>0</v>
      </c>
      <c r="G82" t="s">
        <v>90</v>
      </c>
      <c r="H82">
        <v>100</v>
      </c>
      <c r="I82" t="s">
        <v>91</v>
      </c>
      <c r="J82">
        <v>2</v>
      </c>
    </row>
    <row r="83" spans="1:10" x14ac:dyDescent="0.45">
      <c r="A83" t="s">
        <v>124</v>
      </c>
      <c r="B83" t="s">
        <v>49</v>
      </c>
      <c r="C83" t="s">
        <v>6</v>
      </c>
      <c r="D83">
        <v>1</v>
      </c>
    </row>
    <row r="84" spans="1:10" x14ac:dyDescent="0.45">
      <c r="A84" t="s">
        <v>124</v>
      </c>
      <c r="B84" t="s">
        <v>50</v>
      </c>
      <c r="C84" t="s">
        <v>103</v>
      </c>
      <c r="D84">
        <v>0</v>
      </c>
      <c r="E84" t="s">
        <v>58</v>
      </c>
      <c r="F84">
        <v>0</v>
      </c>
      <c r="G84" t="s">
        <v>78</v>
      </c>
      <c r="H84">
        <v>1E-4</v>
      </c>
      <c r="I84" t="s">
        <v>105</v>
      </c>
      <c r="J84">
        <v>0</v>
      </c>
    </row>
    <row r="85" spans="1:10" x14ac:dyDescent="0.45">
      <c r="A85" t="s">
        <v>124</v>
      </c>
      <c r="B85" t="s">
        <v>51</v>
      </c>
      <c r="C85" t="s">
        <v>154</v>
      </c>
      <c r="D85">
        <v>0</v>
      </c>
      <c r="E85" t="s">
        <v>153</v>
      </c>
      <c r="F85">
        <v>0</v>
      </c>
      <c r="G85" t="s">
        <v>150</v>
      </c>
      <c r="H85">
        <v>0</v>
      </c>
      <c r="I85" t="s">
        <v>87</v>
      </c>
      <c r="J85">
        <v>0</v>
      </c>
    </row>
    <row r="86" spans="1:10" x14ac:dyDescent="0.45">
      <c r="A86" t="s">
        <v>11</v>
      </c>
    </row>
    <row r="87" spans="1:10" x14ac:dyDescent="0.45">
      <c r="A87" t="s">
        <v>11</v>
      </c>
    </row>
    <row r="88" spans="1:10" x14ac:dyDescent="0.45">
      <c r="A88" t="s">
        <v>11</v>
      </c>
    </row>
    <row r="89" spans="1:10" x14ac:dyDescent="0.45">
      <c r="A89" t="s">
        <v>11</v>
      </c>
    </row>
    <row r="90" spans="1:10" x14ac:dyDescent="0.45">
      <c r="A90" t="s">
        <v>11</v>
      </c>
    </row>
    <row r="91" spans="1:10" x14ac:dyDescent="0.45">
      <c r="A91" t="s">
        <v>11</v>
      </c>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1</vt:i4>
      </vt:variant>
    </vt:vector>
  </HeadingPairs>
  <TitlesOfParts>
    <vt:vector size="9" baseType="lpstr">
      <vt:lpstr>inicial</vt:lpstr>
      <vt:lpstr>pruebas</vt:lpstr>
      <vt:lpstr>controles</vt:lpstr>
      <vt:lpstr>-L-Cd</vt:lpstr>
      <vt:lpstr>+L-Cd</vt:lpstr>
      <vt:lpstr>-L+Cd</vt:lpstr>
      <vt:lpstr>Valores Usados</vt:lpstr>
      <vt:lpstr>Hoja1</vt:lpstr>
      <vt:lpstr>Hoja1!inputIntrTransp3</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lmayorga</dc:creator>
  <cp:lastModifiedBy>  </cp:lastModifiedBy>
  <dcterms:created xsi:type="dcterms:W3CDTF">2017-02-03T17:11:05Z</dcterms:created>
  <dcterms:modified xsi:type="dcterms:W3CDTF">2020-01-22T20:12:40Z</dcterms:modified>
</cp:coreProperties>
</file>
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21" i="3" l="1"/>
  <c r="C22" i="3" l="1"/>
  <c r="H21" i="3"/>
  <c r="F21" i="3"/>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<sst xmlns="http://schemas.openxmlformats.org/spreadsheetml/2006/main" count="1719" uniqueCount="171">
  <si>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</si>
  <si>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</si>
  <si>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</si>
  <si>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</si>
  <si>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</si>
  <si>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</si>
  <si>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</si>
  <si>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</si>
  <si>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</si>
  <si>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</si>
  <si>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</si>
  <si>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</si>
  <si>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</si>
  <si>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</si>
  <si>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</si>
  <si>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</si>
  <si>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</si>
  <si>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</si>
  <si>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</si>
  <si>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</si>
  <si>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</si>
  <si>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</si>
  <si>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</si>
  <si>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</si>
  <si>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</si>
  <si>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</si>
  <si>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</si>
  <si>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</si>
  <si>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</si>
  <si>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</si>
  <si>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</si>
  <si>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</si>
  <si>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</si>
  <si>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</si>
  <si>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</si>
  <si>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</si>
  <si>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</si>
  <si>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</si>
  <si>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</si>
  <si>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</si>
  <si>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</si>
  <si>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</si>
  <si>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</si>
  <si>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</si>
  <si>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</si>
  <si>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</si>
  <si>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</si>
  <si>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</si>
  <si>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</si>
  <si>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</si>
  <si>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</si>
  <si>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</si>
  <si>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</si>
  <si>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</si>
  <si>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</si>
  <si>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</si>
  <si>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</si>
  <si>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</si>
  <si>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</si>
  <si>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</si>
  <si>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</si>
  <si>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</si>
  <si>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</si>
  <si>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</si>
  <si>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</si>
  <si>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</si>
  <si>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</si>
  <si>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</si>
  <si>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</si>
  <si>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</si>
  <si>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</si>
  <si>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</si>
  <si>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</si>
  <si>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</si>
  <si>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</si>
  <si>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</si>
  <si>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</si>
  <si>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</si>
  <si>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</si>
  <si>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</si>
  <si>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</si>
  <si>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</si>
  <si>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</si>
  <si>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</si>
  <si>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</si>
  <si>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</si>
  <si>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</si>
  <si>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</si>
  <si>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</si>
  <si>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</si>
  <si>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</si>
  <si>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</si>
  <si>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</si>
  <si>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</si>
  <si>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</si>
  <si>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</si>
  <si>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</si>
  <si>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</si>
  <si>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</si>
  <si>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</si>
  <si>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</si>
  <si>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</si>
  <si>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</si>
  <si>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</si>
  <si>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</si>
  <si>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</si>
  <si>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</si>
  <si>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</si>
  <si>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</si>
  <si>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</si>
  <si>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</si>
  <si>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</si>
  <si>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</si>
  <si>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</si>
  <si>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</si>
  <si>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</si>
  <si>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</si>
  <si>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</si>
  <si>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</si>
  <si>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</si>
  <si>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</si>
  <si>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</si>
  <si>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</si>
  <si>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</si>
  <si>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</si>
  <si>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</si>
  <si>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</si>
  <si>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</si>
  <si>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</si>
  <si>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</si>
  <si>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</si>
  <si>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</si>
  <si>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</si>
  <si>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</si>
  <si>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</si>
  <si>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</si>
  <si>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</si>
  <si>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</si>
  <si>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</si>
  <si>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</si>
  <si>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</si>
  <si>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</si>
  <si>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</si>
  <si>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</si>
  <si>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</si>
  <si>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</si>
  <si>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</si>
  <si>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</si>
  <si>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</si>
  <si>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</si>
  <si>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</si>
  <si>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</si>
  <si>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</si>
  <si>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</si>
  <si>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</si>
  <si>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</si>
  <si>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</si>
  <si>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</si>
  <si>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</si>
  <si>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</si>
  <si>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</si>
  <si>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</si>
  <si>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</si>
  <si>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</si>
  <si>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</si>
  <si>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</si>
  <si>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</si>
  <si>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RabE10</t>
  </si>
  <si>
    <t>tub</t>
  </si>
  <si>
    <t>500 nm radius</t>
  </si>
  <si>
    <t>250 nm radius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</si>
</sst>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1</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1</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1</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0.2</v>
      </c>
      <c r="D30" s="11" t="s">
        <v>7</v>
      </c>
      <c r="E30" s="12">
        <v>1</v>
      </c>
      <c r="F30" s="11" t="s">
        <v>8</v>
      </c>
      <c r="G30" s="12">
        <v>1</v>
      </c>
      <c r="H30" s="11" t="s">
        <v>9</v>
      </c>
      <c r="I30" s="12">
        <v>1</v>
      </c>
      <c r="J30" s="11" t="s">
        <v>10</v>
      </c>
      <c r="K30" s="12">
        <v>0.05</v>
      </c>
      <c r="L30" s="11"/>
      <c r="M30" s="11"/>
      <c r="N30" s="11"/>
      <c r="O30" s="11"/>
    </row>
    <row r="31" spans="1:15" s="7" customFormat="1" x14ac:dyDescent="0.45">
      <c r="A31" s="11" t="s">
        <v>122</v>
      </c>
      <c r="B31" s="11" t="s">
        <v>6</v>
      </c>
      <c r="C31" s="12">
        <v>-0.01</v>
      </c>
      <c r="D31" s="11" t="s">
        <v>7</v>
      </c>
      <c r="E31" s="12">
        <v>-1</v>
      </c>
      <c r="F31" s="11" t="s">
        <v>8</v>
      </c>
      <c r="G31" s="12">
        <v>-1</v>
      </c>
      <c r="H31" s="11" t="s">
        <v>9</v>
      </c>
      <c r="I31" s="12">
        <v>-1</v>
      </c>
      <c r="J31" s="11" t="s">
        <v>10</v>
      </c>
      <c r="K31" s="12">
        <v>0.01</v>
      </c>
      <c r="L31" s="11"/>
      <c r="M31" s="11"/>
      <c r="N31" s="11"/>
      <c r="O31" s="11"/>
    </row>
    <row r="32" spans="1:15" s="7" customFormat="1" x14ac:dyDescent="0.45">
      <c r="A32" s="11" t="s">
        <v>123</v>
      </c>
      <c r="B32" s="11" t="s">
        <v>6</v>
      </c>
      <c r="C32" s="12">
        <v>-0.01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x14ac:dyDescent="0.45">
      <c r="A35" s="11" t="s">
        <v>22</v>
      </c>
      <c r="B35" s="11" t="s">
        <v>153</v>
      </c>
      <c r="C35" s="11" t="s">
        <v>154</v>
      </c>
      <c r="D35" s="11" t="s">
        <v>152</v>
      </c>
      <c r="E35" s="11" t="s">
        <v>151</v>
      </c>
      <c r="F35" s="11" t="s">
        <v>87</v>
      </c>
      <c r="G35" s="11" t="s">
        <v>150</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153</v>
      </c>
      <c r="C37" s="11" t="s">
        <v>167</v>
      </c>
      <c r="D37" s="11"/>
      <c r="E37" s="11"/>
      <c r="F37" s="11"/>
      <c r="G37" s="11"/>
      <c r="H37" s="11"/>
      <c r="I37" s="11"/>
      <c r="J37" s="11"/>
      <c r="K37" s="11"/>
      <c r="L37" s="11"/>
      <c r="M37" s="11"/>
      <c r="N37" s="11"/>
      <c r="O37" s="11"/>
    </row>
    <row r="38" spans="1:16" s="7" customFormat="1" x14ac:dyDescent="0.45">
      <c r="A38" s="11" t="s">
        <v>33</v>
      </c>
      <c r="B38" s="11" t="s">
        <v>154</v>
      </c>
      <c r="C38" s="11" t="s">
        <v>85</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33</v>
      </c>
      <c r="B41" s="11" t="s">
        <v>152</v>
      </c>
      <c r="C41" s="11" t="s">
        <v>168</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10</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22"/>
  <sheetViews>
    <sheetView tabSelected="1" topLeftCell="A3"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A19" t="s">
        <v>169</v>
      </c>
      <c r="B19" t="s">
        <v>161</v>
      </c>
      <c r="C19">
        <f>PI()*500^2*20</f>
        <v>15707963.267948965</v>
      </c>
    </row>
    <row r="21" spans="1:8" x14ac:dyDescent="0.45">
      <c r="A21" t="s">
        <v>160</v>
      </c>
      <c r="B21" t="s">
        <v>165</v>
      </c>
      <c r="C21">
        <f>PI()*250^2*2 + 2*PI()*250*20</f>
        <v>424115.00823462207</v>
      </c>
      <c r="E21" t="s">
        <v>163</v>
      </c>
      <c r="F21">
        <f>6*PI()*35^2</f>
        <v>23090.706003884978</v>
      </c>
      <c r="G21" t="s">
        <v>164</v>
      </c>
      <c r="H21">
        <f>C21/F21</f>
        <v>18.367346938775512</v>
      </c>
    </row>
    <row r="22" spans="1:8" x14ac:dyDescent="0.45">
      <c r="A22" t="s">
        <v>170</v>
      </c>
      <c r="B22" t="s">
        <v>161</v>
      </c>
      <c r="C22">
        <f>PI()*250^2*20</f>
        <v>3926990.8169872412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2019-12-30T17:15:28Z</dcterms:modified>
</cp:coreProperties>
</file>
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omments1.xml" ContentType="application/vnd.openxmlformats-officedocument.spreadsheetml.comments+xml"/>
  <Override PartName="/xl/queryTables/queryTable2.xml" ContentType="application/vnd.openxmlformats-officedocument.spreadsheetml.queryTable+xml"/>
  <Override PartName="/xl/comments2.xml" ContentType="application/vnd.openxmlformats-officedocument.spreadsheetml.comments+xml"/>
  <Override PartName="/xl/queryTables/queryTable3.xml" ContentType="application/vnd.openxmlformats-officedocument.spreadsheetml.query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activeTab="1"/>
  </bookViews>
  <sheets>
    <sheet name="inicial" sheetId="1" r:id="rId1"/>
    <sheet name="Hoja1" sheetId="5" r:id="rId2"/>
    <sheet name="pruebas" sheetId="4" r:id="rId3"/>
    <sheet name="Hoja3" sheetId="7" r:id="rId4"/>
    <sheet name="controles" sheetId="3" r:id="rId5"/>
    <sheet name="Valores Usados" sheetId="2" r:id="rId6"/>
  </sheets>
  <definedNames>
    <definedName name="inputIntrTransp3" localSheetId="1">Hoja1!$A$1:$AF$91</definedName>
    <definedName name="inputIntrTransp316_01_20_fromVesicular" localSheetId="3">Hoja3!$A$1:$AF$91</definedName>
    <definedName name="inputIntrTransp316_01_20_fromVesicular" localSheetId="0">inicial!$A$1:$AF$91</definedName>
  </definedNames>
  <calcPr calcId="152511"/>
</workbook>
</file>

<file path=xl/calcChain.xml><?xml version="1.0" encoding="utf-8"?>
<calcChain xmlns="http://schemas.openxmlformats.org/spreadsheetml/2006/main">
  <c r="D69" i="4" l="1"/>
  <c r="G2" i="4"/>
</calcChain>
</file>

<file path=xl/comments1.xml><?xml version="1.0" encoding="utf-8"?>
<comments xmlns="http://schemas.openxmlformats.org/spreadsheetml/2006/main">
  <authors>
    <author xml:space="preserve">  </author>
    <author>Luis Mayorga</author>
  </authors>
  <commentLis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A5" authorId="0" shapeId="0">
      <text>
        <r>
          <rPr>
            <b/>
            <sz val="9"/>
            <color indexed="81"/>
            <rFont val="Tahoma"/>
            <family val="2"/>
          </rPr>
          <t xml:space="preserve">  :</t>
        </r>
        <r>
          <rPr>
            <sz val="9"/>
            <color indexed="81"/>
            <rFont val="Tahoma"/>
            <family val="2"/>
          </rPr>
          <t xml:space="preserve">
initial rabs present in the model</t>
        </r>
      </text>
    </comment>
    <comment ref="A6" authorId="0" shapeId="0">
      <text>
        <r>
          <rPr>
            <b/>
            <sz val="9"/>
            <color indexed="81"/>
            <rFont val="Tahoma"/>
            <family val="2"/>
          </rPr>
          <t xml:space="preserve">  :</t>
        </r>
        <r>
          <rPr>
            <sz val="9"/>
            <color indexed="81"/>
            <rFont val="Tahoma"/>
            <family val="2"/>
          </rPr>
          <t xml:space="preserve">
initial soluble content to be loaded upon uptake</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and (1-Nro) probability of tubule of going to PM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A5" authorId="0" shapeId="0">
      <text>
        <r>
          <rPr>
            <b/>
            <sz val="9"/>
            <color indexed="81"/>
            <rFont val="Tahoma"/>
            <family val="2"/>
          </rPr>
          <t xml:space="preserve">  :</t>
        </r>
        <r>
          <rPr>
            <sz val="9"/>
            <color indexed="81"/>
            <rFont val="Tahoma"/>
            <family val="2"/>
          </rPr>
          <t xml:space="preserve">
initial rabs present in the model</t>
        </r>
      </text>
    </comment>
    <comment ref="A6" authorId="0" shapeId="0">
      <text>
        <r>
          <rPr>
            <b/>
            <sz val="9"/>
            <color indexed="81"/>
            <rFont val="Tahoma"/>
            <family val="2"/>
          </rPr>
          <t xml:space="preserve">  :</t>
        </r>
        <r>
          <rPr>
            <sz val="9"/>
            <color indexed="81"/>
            <rFont val="Tahoma"/>
            <family val="2"/>
          </rPr>
          <t xml:space="preserve">
initial soluble content to be loaded upon uptake</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and (1-Nro) probability of tubule of going to PM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A5" authorId="0" shapeId="0">
      <text>
        <r>
          <rPr>
            <b/>
            <sz val="9"/>
            <color indexed="81"/>
            <rFont val="Tahoma"/>
            <family val="2"/>
          </rPr>
          <t xml:space="preserve">  :</t>
        </r>
        <r>
          <rPr>
            <sz val="9"/>
            <color indexed="81"/>
            <rFont val="Tahoma"/>
            <family val="2"/>
          </rPr>
          <t xml:space="preserve">
initial rabs present in the model</t>
        </r>
      </text>
    </comment>
    <comment ref="A6" authorId="0" shapeId="0">
      <text>
        <r>
          <rPr>
            <b/>
            <sz val="9"/>
            <color indexed="81"/>
            <rFont val="Tahoma"/>
            <family val="2"/>
          </rPr>
          <t xml:space="preserve">  :</t>
        </r>
        <r>
          <rPr>
            <sz val="9"/>
            <color indexed="81"/>
            <rFont val="Tahoma"/>
            <family val="2"/>
          </rPr>
          <t xml:space="preserve">
initial soluble content to be loaded upon uptake</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and (1-Nro) probability of tubule of going to PM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nnections.xml><?xml version="1.0" encoding="utf-8"?>
<connections xmlns="http://schemas.openxmlformats.org/spreadsheetml/2006/main">
  <connection id="1" name="inputIntrTransp3" type="6" refreshedVersion="5" background="1" saveData="1">
    <textPr codePage="850" sourceFile="C:\Users\lmayo\workspace\immunity\inputIntrTransp3.csv" comma="1">
      <textFields count="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inputIntrTransp316-01-20(fromVesicular)" type="6" refreshedVersion="5" background="1" saveData="1">
    <textPr codePage="850" sourceFile="C:\Users\lmayo\Documents\LuisMover\Documentos LM\Modelos\golgi\DistillationTransport\inputIntrTransp316-01-20(fromVesicular).csv" comma="1">
      <textFields count="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inputIntrTransp316-01-20(fromVesicular)1" type="6" refreshedVersion="5" background="1" saveData="1">
    <textPr codePage="850" sourceFile="C:\Users\lmayo\Documents\LuisMover\Documentos LM\Modelos\golgi\DistillationTransport\inputIntrTransp316-01-20(fromVesicular).csv" comma="1">
      <textFields count="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<sst xmlns="http://schemas.openxmlformats.org/spreadsheetml/2006/main" count="1269" uniqueCount="169">
  <si>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</si>
  <si>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</si>
  <si>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</si>
  <si>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</si>
  <si>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</si>
  <si>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</si>
  <si>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</si>
  <si>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</si>
  <si>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</si>
  <si>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</si>
  <si>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</si>
  <si>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</si>
  <si>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</si>
  <si>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</si>
  <si>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</si>
  <si>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</si>
  <si>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</si>
  <si>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</si>
  <si>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</si>
  <si>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</si>
  <si>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</si>
  <si>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</si>
  <si>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</si>
  <si>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</si>
  <si>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</si>
  <si>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</si>
  <si>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</si>
  <si>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</si>
  <si>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</si>
  <si>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</si>
  <si>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</si>
  <si>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</si>
  <si>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</si>
  <si>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</si>
  <si>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</si>
  <si>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</si>
  <si>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KIND</t>
  </si>
  <si>
    <t>Content</t>
  </si>
  <si>
    <t>1st Content</t>
  </si>
  <si>
    <t>value</t>
  </si>
  <si>
    <t>2nd Content</t>
  </si>
  <si>
    <t>3rd Content</t>
  </si>
  <si>
    <t>kind1</t>
  </si>
  <si>
    <t>area</t>
  </si>
  <si>
    <t>volume</t>
  </si>
  <si>
    <t>radius</t>
  </si>
  <si>
    <t>kind2</t>
  </si>
  <si>
    <t>kind3</t>
  </si>
  <si>
    <t>kind4</t>
  </si>
  <si>
    <t>kind5</t>
  </si>
  <si>
    <t>4th Content</t>
  </si>
  <si>
    <t>number</t>
  </si>
  <si>
    <t>initOrgProp</t>
  </si>
  <si>
    <t>initRabContent</t>
  </si>
  <si>
    <t>initSolubleContent</t>
  </si>
  <si>
    <t>initMembraneContent</t>
  </si>
  <si>
    <t>INITIAL ORGANELLES</t>
  </si>
  <si>
    <t>colorRab</t>
  </si>
  <si>
    <t>colorContent</t>
  </si>
  <si>
    <t>red</t>
  </si>
  <si>
    <t>green</t>
  </si>
  <si>
    <t>blue</t>
  </si>
  <si>
    <t>solubleMarker</t>
  </si>
  <si>
    <t>kind6</t>
  </si>
  <si>
    <t>RabBRabC</t>
  </si>
  <si>
    <t>RESET  SIMULATION</t>
  </si>
  <si>
    <t>Tf uptake</t>
  </si>
  <si>
    <t>ova uptake</t>
  </si>
  <si>
    <t>RESET COLORS AND UPTAKE</t>
  </si>
  <si>
    <t>orgScale</t>
  </si>
  <si>
    <t>rabRecyProb</t>
  </si>
  <si>
    <t>pLANCL2</t>
  </si>
  <si>
    <t>initPMmembraneRecycle</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</si>
  <si>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</si>
  <si>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</si>
  <si>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</si>
  <si>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</si>
  <si>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</si>
  <si>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</si>
  <si>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</si>
  <si>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</si>
  <si>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</si>
  <si>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</si>
  <si>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</si>
  <si>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</si>
  <si>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</si>
  <si>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</si>
  <si>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</si>
  <si>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</si>
  <si>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</si>
  <si>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</si>
  <si>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</si>
  <si>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RabA10</t>
  </si>
  <si>
    <t>RabD10</t>
  </si>
  <si>
    <t>RabE10</t>
  </si>
  <si>
    <t>sph</t>
  </si>
  <si>
    <t>RabA07</t>
  </si>
  <si>
    <t>membraneMarker</t>
  </si>
  <si>
    <t>HexA</t>
  </si>
  <si>
    <t>M6PR-HexA</t>
  </si>
  <si>
    <t>dextran</t>
  </si>
  <si>
    <t>M6PR</t>
  </si>
  <si>
    <t>METABOLITES and RABS</t>
  </si>
  <si>
    <t>chol</t>
  </si>
  <si>
    <t>GM</t>
  </si>
  <si>
    <t>RabB05</t>
  </si>
  <si>
    <t>MODEL PROPERTIES</t>
  </si>
  <si>
    <t>freezeDry</t>
  </si>
  <si>
    <t>kineticsArea</t>
  </si>
  <si>
    <t>membraneFlux</t>
  </si>
  <si>
    <t>maturationTrigger</t>
  </si>
  <si>
    <t>cellAgentProperties</t>
  </si>
  <si>
    <t>cellArea</t>
  </si>
  <si>
    <t>cellVolume</t>
  </si>
  <si>
    <t>membraneCell</t>
  </si>
  <si>
    <t>cellCopasi</t>
  </si>
  <si>
    <t>PLASMA MEMBRANE</t>
  </si>
  <si>
    <t>plasmaMembraneProperties</t>
  </si>
  <si>
    <t>plasmaMembraneArea</t>
  </si>
  <si>
    <t>plasmaMembraneVolume</t>
  </si>
  <si>
    <t>enzyme</t>
  </si>
  <si>
    <t>enzymeM</t>
  </si>
  <si>
    <t>Go3</t>
  </si>
  <si>
    <t>Gpli</t>
  </si>
  <si>
    <t>Spli</t>
  </si>
  <si>
    <t>G55</t>
  </si>
  <si>
    <t>initPMsolubleRecycle</t>
  </si>
  <si>
    <t>uptakeRate</t>
  </si>
  <si>
    <t>plasmaMembraneCopasi</t>
  </si>
  <si>
    <t>endosomeCopasi</t>
  </si>
  <si>
    <t>LuiniGolgiSinGo3.cp</t>
  </si>
  <si>
    <t>rabCopasi</t>
  </si>
  <si>
    <t>RabBRabA</t>
  </si>
  <si>
    <t>RabCRabB</t>
  </si>
  <si>
    <t>RabDRabC</t>
  </si>
  <si>
    <t>RabERabD</t>
  </si>
  <si>
    <t>mtTropismTubule</t>
  </si>
  <si>
    <t>mtTropismRest</t>
  </si>
  <si>
    <t>organelle</t>
  </si>
  <si>
    <t>ERGIC</t>
  </si>
  <si>
    <t>cisGolgi</t>
  </si>
  <si>
    <t>medialGolgi</t>
  </si>
  <si>
    <t>transGolgi</t>
  </si>
  <si>
    <t>TGN</t>
  </si>
  <si>
    <t>enzymeGo3</t>
  </si>
  <si>
    <t>enzymeG55</t>
  </si>
  <si>
    <t>albumin</t>
  </si>
  <si>
    <t>ProC</t>
  </si>
  <si>
    <t>RabA05</t>
  </si>
  <si>
    <t>tub</t>
  </si>
  <si>
    <t>RabE05</t>
  </si>
  <si>
    <t>RabD01</t>
  </si>
  <si>
    <t>position</t>
  </si>
  <si>
    <t>maxRadius</t>
  </si>
  <si>
    <t>maxAsym</t>
  </si>
  <si>
    <t>TfR</t>
  </si>
  <si>
    <t>kindLarge</t>
  </si>
  <si>
    <t>ERGolgiIC</t>
  </si>
  <si>
    <t>TGolgiN</t>
  </si>
  <si>
    <t>memL</t>
  </si>
  <si>
    <t>memS</t>
  </si>
  <si>
    <t>memERGIC</t>
  </si>
  <si>
    <t>memGolgiMedial</t>
  </si>
  <si>
    <t>memTGN</t>
  </si>
  <si>
    <t>memLS</t>
  </si>
  <si>
    <t>memTub</t>
  </si>
  <si>
    <t>solL</t>
  </si>
  <si>
    <t>solS</t>
  </si>
  <si>
    <t>x</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</si>
</sst>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4">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inputIntrTransp316-01-20(fromVesicular)" connectionId="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inputIntrTransp3" connectionId="1"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inputIntrTransp316-01-20(fromVesicular)" connectionId="2" autoFormatId="16" applyNumberFormats="0" applyBorderFormats="0" applyFontFormats="0" applyPatternFormats="0" applyAlignmentFormats="0" applyWidthHeightFormats="0"/>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queryTable" Target="../queryTables/queryTable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U90"/>
  <sheetViews>
    <sheetView zoomScale="90" zoomScaleNormal="90" workbookViewId="0"/>
  </sheetViews>
  <sheetFormatPr baseColWidth="10" defaultRowHeight="14.25" x14ac:dyDescent="0.45"/>
  <cols>
    <col min="1" max="1" width="23.19921875" bestFit="1" customWidth="1"/>
    <col min="2" max="2" width="18.73046875" bestFit="1" customWidth="1"/>
    <col min="3" max="3" width="15" bestFit="1" customWidth="1"/>
    <col min="4" max="4" width="21.1328125" bestFit="1" customWidth="1"/>
    <col min="5" max="5" width="14.265625" bestFit="1" customWidth="1"/>
    <col min="6" max="6" width="15.1328125" bestFit="1" customWidth="1"/>
    <col min="7" max="7" width="12.06640625" bestFit="1" customWidth="1"/>
    <col min="8" max="8" width="9.1328125" bestFit="1" customWidth="1"/>
    <col min="9" max="9" width="15" bestFit="1" customWidth="1"/>
    <col min="10" max="10" width="8.86328125" bestFit="1" customWidth="1"/>
    <col min="11" max="11" width="8.1328125" bestFit="1" customWidth="1"/>
    <col min="12" max="12" width="4.73046875" bestFit="1" customWidth="1"/>
    <col min="13" max="13" width="15" bestFit="1" customWidth="1"/>
    <col min="14" max="14" width="1.73046875" bestFit="1" customWidth="1"/>
    <col min="15" max="15" width="7.6640625" bestFit="1" customWidth="1"/>
    <col min="16" max="16" width="6.73046875" bestFit="1" customWidth="1"/>
    <col min="17" max="17" width="6.3984375" bestFit="1" customWidth="1"/>
    <col min="18" max="18" width="4.73046875" bestFit="1" customWidth="1"/>
  </cols>
  <sheetData>
    <row r="1" spans="1:47" s="7" customFormat="1" x14ac:dyDescent="0.45">
      <c r="A1" t="s">
        <v>106</v>
      </c>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row>
    <row r="2" spans="1:47" s="7" customFormat="1" x14ac:dyDescent="0.45">
      <c r="A2" t="s">
        <v>1</v>
      </c>
      <c r="B2" t="s">
        <v>2</v>
      </c>
      <c r="C2">
        <v>35</v>
      </c>
      <c r="D2" t="s">
        <v>69</v>
      </c>
      <c r="E2">
        <v>0.5</v>
      </c>
      <c r="F2" t="s">
        <v>75</v>
      </c>
      <c r="G2">
        <v>0.5</v>
      </c>
      <c r="H2" t="s">
        <v>107</v>
      </c>
      <c r="I2">
        <v>1</v>
      </c>
      <c r="J2"/>
      <c r="K2"/>
      <c r="L2"/>
      <c r="M2"/>
      <c r="N2"/>
      <c r="O2"/>
      <c r="P2"/>
      <c r="Q2"/>
      <c r="R2"/>
      <c r="S2"/>
      <c r="T2"/>
      <c r="U2"/>
      <c r="V2"/>
      <c r="W2"/>
      <c r="X2"/>
      <c r="Y2"/>
      <c r="Z2"/>
      <c r="AA2"/>
      <c r="AB2"/>
      <c r="AC2"/>
      <c r="AD2"/>
      <c r="AE2"/>
      <c r="AF2"/>
      <c r="AG2"/>
      <c r="AH2"/>
      <c r="AI2"/>
      <c r="AJ2"/>
      <c r="AK2"/>
      <c r="AL2"/>
      <c r="AM2"/>
      <c r="AN2"/>
      <c r="AO2"/>
      <c r="AP2"/>
      <c r="AQ2"/>
      <c r="AR2"/>
      <c r="AS2"/>
      <c r="AT2"/>
      <c r="AU2"/>
    </row>
    <row r="3" spans="1:47" s="7" customFormat="1" x14ac:dyDescent="0.45">
      <c r="A3" t="s">
        <v>1</v>
      </c>
      <c r="B3" t="s">
        <v>108</v>
      </c>
      <c r="C3">
        <v>1</v>
      </c>
      <c r="D3" t="s">
        <v>109</v>
      </c>
      <c r="E3">
        <v>0</v>
      </c>
      <c r="F3" t="s">
        <v>110</v>
      </c>
      <c r="G3">
        <v>0.5</v>
      </c>
      <c r="H3"/>
      <c r="I3"/>
      <c r="J3"/>
      <c r="K3"/>
      <c r="L3"/>
      <c r="M3"/>
      <c r="N3"/>
      <c r="O3"/>
      <c r="P3"/>
      <c r="Q3"/>
      <c r="R3"/>
      <c r="S3"/>
      <c r="T3"/>
      <c r="U3"/>
      <c r="V3"/>
      <c r="W3"/>
      <c r="X3"/>
      <c r="Y3"/>
      <c r="Z3"/>
      <c r="AA3"/>
      <c r="AB3"/>
      <c r="AC3"/>
      <c r="AD3"/>
      <c r="AE3"/>
      <c r="AF3"/>
      <c r="AG3"/>
      <c r="AH3"/>
      <c r="AI3"/>
      <c r="AJ3"/>
      <c r="AK3"/>
      <c r="AL3"/>
      <c r="AM3"/>
      <c r="AN3"/>
      <c r="AO3"/>
      <c r="AP3"/>
      <c r="AQ3"/>
      <c r="AR3"/>
      <c r="AS3"/>
      <c r="AT3"/>
      <c r="AU3"/>
    </row>
    <row r="4" spans="1:47" s="7" customFormat="1" x14ac:dyDescent="0.45">
      <c r="A4" t="s">
        <v>0</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row>
    <row r="5" spans="1:47" s="7" customFormat="1" x14ac:dyDescent="0.45">
      <c r="A5" t="s">
        <v>111</v>
      </c>
      <c r="B5" t="s">
        <v>112</v>
      </c>
      <c r="C5">
        <v>9000000</v>
      </c>
      <c r="D5" t="s">
        <v>113</v>
      </c>
      <c r="E5">
        <v>7200000000</v>
      </c>
      <c r="F5"/>
      <c r="G5"/>
      <c r="H5"/>
      <c r="I5"/>
      <c r="J5"/>
      <c r="K5"/>
      <c r="L5"/>
      <c r="M5"/>
      <c r="N5"/>
      <c r="O5"/>
      <c r="P5"/>
      <c r="Q5"/>
      <c r="R5"/>
      <c r="S5"/>
      <c r="T5"/>
      <c r="U5"/>
      <c r="V5"/>
      <c r="W5"/>
      <c r="X5"/>
      <c r="Y5"/>
      <c r="Z5"/>
      <c r="AA5"/>
      <c r="AB5"/>
      <c r="AC5"/>
      <c r="AD5"/>
      <c r="AE5"/>
      <c r="AF5"/>
      <c r="AG5"/>
      <c r="AH5"/>
      <c r="AI5"/>
      <c r="AJ5"/>
      <c r="AK5"/>
      <c r="AL5"/>
      <c r="AM5"/>
      <c r="AN5"/>
      <c r="AO5"/>
      <c r="AP5"/>
      <c r="AQ5"/>
      <c r="AR5"/>
      <c r="AS5"/>
      <c r="AT5"/>
      <c r="AU5"/>
    </row>
    <row r="6" spans="1:47" s="7" customFormat="1" x14ac:dyDescent="0.45">
      <c r="A6" t="s">
        <v>5</v>
      </c>
      <c r="B6" t="s">
        <v>6</v>
      </c>
      <c r="C6">
        <v>1</v>
      </c>
      <c r="D6" t="s">
        <v>7</v>
      </c>
      <c r="E6">
        <v>1</v>
      </c>
      <c r="F6" t="s">
        <v>8</v>
      </c>
      <c r="G6">
        <v>1</v>
      </c>
      <c r="H6" t="s">
        <v>9</v>
      </c>
      <c r="I6">
        <v>1</v>
      </c>
      <c r="J6" t="s">
        <v>10</v>
      </c>
      <c r="K6">
        <v>1</v>
      </c>
      <c r="L6"/>
      <c r="M6"/>
      <c r="N6"/>
      <c r="O6"/>
      <c r="P6"/>
      <c r="Q6"/>
      <c r="R6"/>
      <c r="S6"/>
      <c r="T6"/>
      <c r="U6"/>
      <c r="V6"/>
      <c r="W6"/>
      <c r="X6"/>
      <c r="Y6"/>
      <c r="Z6"/>
      <c r="AA6"/>
      <c r="AB6"/>
      <c r="AC6"/>
      <c r="AD6"/>
      <c r="AE6"/>
      <c r="AF6"/>
      <c r="AG6"/>
      <c r="AH6"/>
      <c r="AI6"/>
      <c r="AJ6"/>
      <c r="AK6"/>
      <c r="AL6"/>
      <c r="AM6"/>
      <c r="AN6"/>
      <c r="AO6"/>
      <c r="AP6"/>
      <c r="AQ6"/>
      <c r="AR6"/>
      <c r="AS6"/>
      <c r="AT6"/>
      <c r="AU6"/>
    </row>
    <row r="7" spans="1:47" s="7" customFormat="1" x14ac:dyDescent="0.45">
      <c r="A7" t="s">
        <v>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row>
    <row r="8" spans="1:47" s="7" customFormat="1" x14ac:dyDescent="0.45">
      <c r="A8" t="s">
        <v>114</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row>
    <row r="9" spans="1:47" s="7" customFormat="1" x14ac:dyDescent="0.45">
      <c r="A9" t="s">
        <v>115</v>
      </c>
      <c r="B9" t="s">
        <v>11</v>
      </c>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row>
    <row r="10" spans="1:47" s="7" customFormat="1" x14ac:dyDescent="0.45">
      <c r="A10" t="s">
        <v>116</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row>
    <row r="11" spans="1:47" s="7" customFormat="1" x14ac:dyDescent="0.45">
      <c r="A11" t="s">
        <v>117</v>
      </c>
      <c r="B11" t="s">
        <v>118</v>
      </c>
      <c r="C11">
        <v>2400000</v>
      </c>
      <c r="D11" t="s">
        <v>119</v>
      </c>
      <c r="E11">
        <v>4800000000</v>
      </c>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row>
    <row r="12" spans="1:47" s="7" customFormat="1" x14ac:dyDescent="0.45">
      <c r="A12" t="s">
        <v>72</v>
      </c>
      <c r="B12" t="s">
        <v>120</v>
      </c>
      <c r="C12">
        <v>0</v>
      </c>
      <c r="D12" t="s">
        <v>145</v>
      </c>
      <c r="E12">
        <v>0</v>
      </c>
      <c r="F12" t="s">
        <v>122</v>
      </c>
      <c r="G12">
        <v>0</v>
      </c>
      <c r="H12" t="s">
        <v>123</v>
      </c>
      <c r="I12">
        <v>0</v>
      </c>
      <c r="J12" t="s">
        <v>124</v>
      </c>
      <c r="K12">
        <v>0</v>
      </c>
      <c r="L12" t="s">
        <v>125</v>
      </c>
      <c r="M12">
        <v>0</v>
      </c>
      <c r="N12"/>
      <c r="O12"/>
      <c r="P12"/>
      <c r="Q12"/>
      <c r="R12"/>
      <c r="S12"/>
      <c r="T12"/>
      <c r="U12"/>
      <c r="V12"/>
      <c r="W12"/>
      <c r="X12"/>
      <c r="Y12"/>
      <c r="Z12"/>
      <c r="AA12"/>
      <c r="AB12"/>
      <c r="AC12"/>
      <c r="AD12"/>
      <c r="AE12"/>
      <c r="AF12"/>
      <c r="AG12"/>
      <c r="AH12"/>
      <c r="AI12"/>
      <c r="AJ12"/>
      <c r="AK12"/>
      <c r="AL12"/>
      <c r="AM12"/>
      <c r="AN12"/>
      <c r="AO12"/>
      <c r="AP12"/>
      <c r="AQ12"/>
      <c r="AR12"/>
      <c r="AS12"/>
      <c r="AT12"/>
      <c r="AU12"/>
    </row>
    <row r="13" spans="1:47" s="7" customFormat="1" x14ac:dyDescent="0.45">
      <c r="A13" t="s">
        <v>126</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row>
    <row r="14" spans="1:47" s="7" customFormat="1" x14ac:dyDescent="0.45">
      <c r="A14" t="s">
        <v>127</v>
      </c>
      <c r="B14" t="s">
        <v>120</v>
      </c>
      <c r="C14">
        <v>0.5</v>
      </c>
      <c r="D14" t="s">
        <v>145</v>
      </c>
      <c r="E14">
        <v>0.5</v>
      </c>
      <c r="F14" t="s">
        <v>122</v>
      </c>
      <c r="G14">
        <v>0.5</v>
      </c>
      <c r="H14" t="s">
        <v>125</v>
      </c>
      <c r="I14">
        <v>0.5</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row>
    <row r="15" spans="1:47" s="7" customFormat="1" x14ac:dyDescent="0.45">
      <c r="A15" t="s">
        <v>128</v>
      </c>
      <c r="B15" t="s">
        <v>11</v>
      </c>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row>
    <row r="16" spans="1:47" s="7" customFormat="1" x14ac:dyDescent="0.45">
      <c r="A16" t="s">
        <v>11</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row>
    <row r="17" spans="1:47" s="7" customFormat="1" x14ac:dyDescent="0.45">
      <c r="A17" t="s">
        <v>12</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row>
    <row r="18" spans="1:47" s="7" customFormat="1" x14ac:dyDescent="0.45">
      <c r="A18" t="s">
        <v>129</v>
      </c>
      <c r="B18" t="s">
        <v>130</v>
      </c>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row>
    <row r="19" spans="1:47" s="7" customFormat="1" x14ac:dyDescent="0.45">
      <c r="A19" t="s">
        <v>131</v>
      </c>
      <c r="B19" t="s">
        <v>11</v>
      </c>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row>
    <row r="20" spans="1:47" s="7" customFormat="1" x14ac:dyDescent="0.45">
      <c r="A20" t="s">
        <v>13</v>
      </c>
      <c r="B20" t="s">
        <v>14</v>
      </c>
      <c r="C20">
        <v>1</v>
      </c>
      <c r="D20" t="s">
        <v>132</v>
      </c>
      <c r="E20">
        <v>0.1</v>
      </c>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row>
    <row r="21" spans="1:47" s="7" customFormat="1" x14ac:dyDescent="0.45">
      <c r="A21" t="s">
        <v>13</v>
      </c>
      <c r="B21" t="s">
        <v>19</v>
      </c>
      <c r="C21">
        <v>0.1</v>
      </c>
      <c r="D21" t="s">
        <v>15</v>
      </c>
      <c r="E21">
        <v>1</v>
      </c>
      <c r="F21" t="s">
        <v>133</v>
      </c>
      <c r="G21">
        <v>0.1</v>
      </c>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row>
    <row r="22" spans="1:47" s="7" customFormat="1" x14ac:dyDescent="0.45">
      <c r="A22" t="s">
        <v>13</v>
      </c>
      <c r="B22" t="s">
        <v>77</v>
      </c>
      <c r="C22">
        <v>0</v>
      </c>
      <c r="D22" t="s">
        <v>64</v>
      </c>
      <c r="E22">
        <v>0.1</v>
      </c>
      <c r="F22" t="s">
        <v>16</v>
      </c>
      <c r="G22">
        <v>1</v>
      </c>
      <c r="H22" t="s">
        <v>134</v>
      </c>
      <c r="I22">
        <v>0.1</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row>
    <row r="23" spans="1:47" s="7" customFormat="1" x14ac:dyDescent="0.45">
      <c r="A23" t="s">
        <v>13</v>
      </c>
      <c r="B23" t="s">
        <v>20</v>
      </c>
      <c r="C23">
        <v>0</v>
      </c>
      <c r="D23" t="s">
        <v>78</v>
      </c>
      <c r="E23">
        <v>0</v>
      </c>
      <c r="F23" t="s">
        <v>80</v>
      </c>
      <c r="G23">
        <v>0.1</v>
      </c>
      <c r="H23" t="s">
        <v>17</v>
      </c>
      <c r="I23">
        <v>1</v>
      </c>
      <c r="J23" t="s">
        <v>135</v>
      </c>
      <c r="K23">
        <v>0.1</v>
      </c>
      <c r="L23"/>
      <c r="M23"/>
      <c r="N23"/>
      <c r="O23"/>
      <c r="P23"/>
      <c r="Q23"/>
      <c r="R23"/>
      <c r="S23"/>
      <c r="T23"/>
      <c r="U23"/>
      <c r="V23"/>
      <c r="W23"/>
      <c r="X23"/>
      <c r="Y23"/>
      <c r="Z23"/>
      <c r="AA23"/>
      <c r="AB23"/>
      <c r="AC23"/>
      <c r="AD23"/>
      <c r="AE23"/>
      <c r="AF23"/>
      <c r="AG23"/>
      <c r="AH23"/>
      <c r="AI23"/>
      <c r="AJ23"/>
      <c r="AK23"/>
      <c r="AL23"/>
      <c r="AM23"/>
      <c r="AN23"/>
      <c r="AO23"/>
      <c r="AP23"/>
      <c r="AQ23"/>
      <c r="AR23"/>
      <c r="AS23"/>
      <c r="AT23"/>
      <c r="AU23"/>
    </row>
    <row r="24" spans="1:47" s="7" customFormat="1" x14ac:dyDescent="0.45">
      <c r="A24" t="s">
        <v>13</v>
      </c>
      <c r="B24" t="s">
        <v>76</v>
      </c>
      <c r="C24">
        <v>0</v>
      </c>
      <c r="D24" t="s">
        <v>79</v>
      </c>
      <c r="E24">
        <v>0</v>
      </c>
      <c r="F24" t="s">
        <v>21</v>
      </c>
      <c r="G24">
        <v>0</v>
      </c>
      <c r="H24" t="s">
        <v>81</v>
      </c>
      <c r="I24">
        <v>0.1</v>
      </c>
      <c r="J24" t="s">
        <v>18</v>
      </c>
      <c r="K24">
        <v>1</v>
      </c>
      <c r="L24"/>
      <c r="M24"/>
      <c r="N24"/>
      <c r="O24"/>
      <c r="P24"/>
      <c r="Q24"/>
      <c r="R24"/>
      <c r="S24"/>
      <c r="T24"/>
      <c r="U24"/>
      <c r="V24"/>
      <c r="W24"/>
      <c r="X24"/>
      <c r="Y24"/>
      <c r="Z24"/>
      <c r="AA24"/>
      <c r="AB24"/>
      <c r="AC24"/>
      <c r="AD24"/>
      <c r="AE24"/>
      <c r="AF24"/>
      <c r="AG24"/>
      <c r="AH24"/>
      <c r="AI24"/>
      <c r="AJ24"/>
      <c r="AK24"/>
      <c r="AL24"/>
      <c r="AM24"/>
      <c r="AN24"/>
      <c r="AO24"/>
      <c r="AP24"/>
      <c r="AQ24"/>
      <c r="AR24"/>
      <c r="AS24"/>
      <c r="AT24"/>
      <c r="AU24"/>
    </row>
    <row r="25" spans="1:47" s="7" customFormat="1" x14ac:dyDescent="0.45">
      <c r="A25" t="s">
        <v>11</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row>
    <row r="26" spans="1:47" s="7" customFormat="1" x14ac:dyDescent="0.45">
      <c r="A26" t="s">
        <v>11</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row>
    <row r="27" spans="1:47" s="7" customFormat="1" x14ac:dyDescent="0.45">
      <c r="A27" t="s">
        <v>11</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row>
    <row r="28" spans="1:47" s="7" customFormat="1" x14ac:dyDescent="0.45">
      <c r="A28" t="s">
        <v>102</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row>
    <row r="29" spans="1:47" s="7" customFormat="1" x14ac:dyDescent="0.45">
      <c r="A29" t="s">
        <v>31</v>
      </c>
      <c r="B29" t="s">
        <v>6</v>
      </c>
      <c r="C29" t="s">
        <v>7</v>
      </c>
      <c r="D29" t="s">
        <v>8</v>
      </c>
      <c r="E29" t="s">
        <v>9</v>
      </c>
      <c r="F29" t="s">
        <v>10</v>
      </c>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row>
    <row r="30" spans="1:47" s="7" customFormat="1" x14ac:dyDescent="0.45">
      <c r="A30" t="s">
        <v>32</v>
      </c>
      <c r="B30" t="s">
        <v>6</v>
      </c>
      <c r="C30">
        <v>1</v>
      </c>
      <c r="D30" t="s">
        <v>7</v>
      </c>
      <c r="E30">
        <v>1</v>
      </c>
      <c r="F30" t="s">
        <v>8</v>
      </c>
      <c r="G30">
        <v>1</v>
      </c>
      <c r="H30" t="s">
        <v>9</v>
      </c>
      <c r="I30">
        <v>1</v>
      </c>
      <c r="J30" t="s">
        <v>10</v>
      </c>
      <c r="K30">
        <v>1</v>
      </c>
      <c r="L30"/>
      <c r="M30"/>
      <c r="N30"/>
      <c r="O30"/>
      <c r="P30"/>
      <c r="Q30"/>
      <c r="R30"/>
      <c r="S30"/>
      <c r="T30"/>
      <c r="U30"/>
      <c r="V30"/>
      <c r="W30"/>
      <c r="X30"/>
      <c r="Y30"/>
      <c r="Z30"/>
      <c r="AA30"/>
      <c r="AB30"/>
      <c r="AC30"/>
      <c r="AD30"/>
      <c r="AE30"/>
      <c r="AF30"/>
      <c r="AG30"/>
      <c r="AH30"/>
      <c r="AI30"/>
      <c r="AJ30"/>
      <c r="AK30"/>
      <c r="AL30"/>
      <c r="AM30"/>
      <c r="AN30"/>
      <c r="AO30"/>
      <c r="AP30"/>
      <c r="AQ30"/>
      <c r="AR30"/>
      <c r="AS30"/>
      <c r="AT30"/>
      <c r="AU30"/>
    </row>
    <row r="31" spans="1:47" s="7" customFormat="1" x14ac:dyDescent="0.45">
      <c r="A31" t="s">
        <v>136</v>
      </c>
      <c r="B31" t="s">
        <v>6</v>
      </c>
      <c r="C31">
        <v>-1</v>
      </c>
      <c r="D31" t="s">
        <v>7</v>
      </c>
      <c r="E31">
        <v>-1</v>
      </c>
      <c r="F31" t="s">
        <v>8</v>
      </c>
      <c r="G31">
        <v>-1</v>
      </c>
      <c r="H31" t="s">
        <v>9</v>
      </c>
      <c r="I31">
        <v>-1</v>
      </c>
      <c r="J31" t="s">
        <v>10</v>
      </c>
      <c r="K31">
        <v>-1</v>
      </c>
      <c r="L31"/>
      <c r="M31"/>
      <c r="N31"/>
      <c r="O31"/>
      <c r="P31"/>
      <c r="Q31"/>
      <c r="R31"/>
      <c r="S31"/>
      <c r="T31"/>
      <c r="U31"/>
      <c r="V31"/>
      <c r="W31"/>
      <c r="X31"/>
      <c r="Y31"/>
      <c r="Z31"/>
      <c r="AA31"/>
      <c r="AB31"/>
      <c r="AC31"/>
      <c r="AD31"/>
      <c r="AE31"/>
      <c r="AF31"/>
      <c r="AG31"/>
      <c r="AH31"/>
      <c r="AI31"/>
      <c r="AJ31"/>
      <c r="AK31"/>
      <c r="AL31"/>
      <c r="AM31"/>
      <c r="AN31"/>
      <c r="AO31"/>
      <c r="AP31"/>
      <c r="AQ31"/>
      <c r="AR31"/>
      <c r="AS31"/>
      <c r="AT31"/>
      <c r="AU31"/>
    </row>
    <row r="32" spans="1:47" s="7" customFormat="1" x14ac:dyDescent="0.45">
      <c r="A32" t="s">
        <v>137</v>
      </c>
      <c r="B32" t="s">
        <v>6</v>
      </c>
      <c r="C32">
        <v>-1</v>
      </c>
      <c r="D32" t="s">
        <v>7</v>
      </c>
      <c r="E32">
        <v>-1</v>
      </c>
      <c r="F32" t="s">
        <v>8</v>
      </c>
      <c r="G32">
        <v>-1</v>
      </c>
      <c r="H32" t="s">
        <v>9</v>
      </c>
      <c r="I32">
        <v>-1</v>
      </c>
      <c r="J32" t="s">
        <v>10</v>
      </c>
      <c r="K32">
        <v>-1</v>
      </c>
      <c r="L32"/>
      <c r="M32"/>
      <c r="N32"/>
      <c r="O32"/>
      <c r="P32"/>
      <c r="Q32"/>
      <c r="R32"/>
      <c r="S32"/>
      <c r="T32"/>
      <c r="U32"/>
      <c r="V32"/>
      <c r="W32"/>
      <c r="X32"/>
      <c r="Y32"/>
      <c r="Z32"/>
      <c r="AA32"/>
      <c r="AB32"/>
      <c r="AC32"/>
      <c r="AD32"/>
      <c r="AE32"/>
      <c r="AF32"/>
      <c r="AG32"/>
      <c r="AH32"/>
      <c r="AI32"/>
      <c r="AJ32"/>
      <c r="AK32"/>
      <c r="AL32"/>
      <c r="AM32"/>
      <c r="AN32"/>
      <c r="AO32"/>
      <c r="AP32"/>
      <c r="AQ32"/>
      <c r="AR32"/>
      <c r="AS32"/>
      <c r="AT32"/>
      <c r="AU32"/>
    </row>
    <row r="33" spans="1:47" s="7" customFormat="1" x14ac:dyDescent="0.45">
      <c r="A33" t="s">
        <v>70</v>
      </c>
      <c r="B33" t="s">
        <v>6</v>
      </c>
      <c r="C33">
        <v>0</v>
      </c>
      <c r="D33" t="s">
        <v>7</v>
      </c>
      <c r="E33">
        <v>0</v>
      </c>
      <c r="F33" t="s">
        <v>8</v>
      </c>
      <c r="G33">
        <v>0</v>
      </c>
      <c r="H33" t="s">
        <v>9</v>
      </c>
      <c r="I33">
        <v>0</v>
      </c>
      <c r="J33" t="s">
        <v>10</v>
      </c>
      <c r="K33">
        <v>0</v>
      </c>
      <c r="L33"/>
      <c r="M33"/>
      <c r="N33"/>
      <c r="O33"/>
      <c r="P33"/>
      <c r="Q33"/>
      <c r="R33"/>
      <c r="S33"/>
      <c r="T33"/>
      <c r="U33"/>
      <c r="V33"/>
      <c r="W33"/>
      <c r="X33"/>
      <c r="Y33"/>
      <c r="Z33"/>
      <c r="AA33"/>
      <c r="AB33"/>
      <c r="AC33"/>
      <c r="AD33"/>
      <c r="AE33"/>
      <c r="AF33"/>
      <c r="AG33"/>
      <c r="AH33"/>
      <c r="AI33"/>
      <c r="AJ33"/>
      <c r="AK33"/>
      <c r="AL33"/>
      <c r="AM33"/>
      <c r="AN33"/>
      <c r="AO33"/>
      <c r="AP33"/>
      <c r="AQ33"/>
      <c r="AR33"/>
      <c r="AS33"/>
      <c r="AT33"/>
      <c r="AU33"/>
    </row>
    <row r="34" spans="1:47" s="7" customFormat="1" x14ac:dyDescent="0.45">
      <c r="A34" t="s">
        <v>138</v>
      </c>
      <c r="B34" t="s">
        <v>6</v>
      </c>
      <c r="C34" t="s">
        <v>157</v>
      </c>
      <c r="D34" t="s">
        <v>7</v>
      </c>
      <c r="E34" t="s">
        <v>140</v>
      </c>
      <c r="F34" t="s">
        <v>8</v>
      </c>
      <c r="G34" t="s">
        <v>141</v>
      </c>
      <c r="H34" t="s">
        <v>9</v>
      </c>
      <c r="I34" t="s">
        <v>142</v>
      </c>
      <c r="J34" t="s">
        <v>10</v>
      </c>
      <c r="K34" t="s">
        <v>158</v>
      </c>
      <c r="L34"/>
      <c r="M34"/>
      <c r="N34"/>
      <c r="O34"/>
      <c r="P34"/>
      <c r="Q34"/>
      <c r="R34"/>
      <c r="S34"/>
      <c r="T34"/>
      <c r="U34"/>
      <c r="V34"/>
      <c r="W34"/>
      <c r="X34"/>
      <c r="Y34"/>
      <c r="Z34"/>
      <c r="AA34"/>
      <c r="AB34"/>
      <c r="AC34"/>
      <c r="AD34"/>
      <c r="AE34"/>
      <c r="AF34"/>
      <c r="AG34"/>
      <c r="AH34"/>
      <c r="AI34"/>
      <c r="AJ34"/>
      <c r="AK34"/>
      <c r="AL34"/>
      <c r="AM34"/>
      <c r="AN34"/>
      <c r="AO34"/>
      <c r="AP34"/>
      <c r="AQ34"/>
      <c r="AR34"/>
      <c r="AS34"/>
      <c r="AT34"/>
      <c r="AU34"/>
    </row>
    <row r="35" spans="1:47" s="7" customFormat="1" x14ac:dyDescent="0.45">
      <c r="A35" t="s">
        <v>22</v>
      </c>
      <c r="B35" t="s">
        <v>159</v>
      </c>
      <c r="C35" t="s">
        <v>160</v>
      </c>
      <c r="D35" t="s">
        <v>161</v>
      </c>
      <c r="E35" t="s">
        <v>162</v>
      </c>
      <c r="F35" t="s">
        <v>163</v>
      </c>
      <c r="G35" t="s">
        <v>164</v>
      </c>
      <c r="H35" t="s">
        <v>165</v>
      </c>
      <c r="I35" t="s">
        <v>97</v>
      </c>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row>
    <row r="36" spans="1:47" s="7" customFormat="1" x14ac:dyDescent="0.45">
      <c r="A36" t="s">
        <v>26</v>
      </c>
      <c r="B36" t="s">
        <v>166</v>
      </c>
      <c r="C36" t="s">
        <v>167</v>
      </c>
      <c r="D36" t="s">
        <v>62</v>
      </c>
      <c r="E36" t="s">
        <v>84</v>
      </c>
      <c r="F36" t="s">
        <v>30</v>
      </c>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row>
    <row r="37" spans="1:47" s="7" customFormat="1" x14ac:dyDescent="0.45">
      <c r="A37" t="s">
        <v>33</v>
      </c>
      <c r="B37" t="s">
        <v>159</v>
      </c>
      <c r="C37" t="s">
        <v>95</v>
      </c>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row>
    <row r="38" spans="1:47" s="7" customFormat="1" x14ac:dyDescent="0.45">
      <c r="A38" t="s">
        <v>33</v>
      </c>
      <c r="B38" t="s">
        <v>160</v>
      </c>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row>
    <row r="39" spans="1:47" s="7" customFormat="1" x14ac:dyDescent="0.45">
      <c r="A39" t="s">
        <v>33</v>
      </c>
      <c r="B39" t="s">
        <v>161</v>
      </c>
      <c r="C39" t="s">
        <v>92</v>
      </c>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row>
    <row r="40" spans="1:47" s="7" customFormat="1" x14ac:dyDescent="0.45">
      <c r="A40" t="s">
        <v>33</v>
      </c>
      <c r="B40" t="s">
        <v>162</v>
      </c>
      <c r="C40" t="s">
        <v>91</v>
      </c>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row>
    <row r="41" spans="1:47" s="7" customFormat="1" x14ac:dyDescent="0.45">
      <c r="A41" t="s">
        <v>11</v>
      </c>
      <c r="B41" t="s">
        <v>163</v>
      </c>
      <c r="C41" t="s">
        <v>94</v>
      </c>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row>
    <row r="42" spans="1:47" s="7" customFormat="1" x14ac:dyDescent="0.45">
      <c r="A42" t="s">
        <v>33</v>
      </c>
      <c r="B42" t="s">
        <v>164</v>
      </c>
      <c r="C42" t="s">
        <v>95</v>
      </c>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row>
    <row r="43" spans="1:47" s="7" customFormat="1" x14ac:dyDescent="0.45">
      <c r="A43" t="s">
        <v>33</v>
      </c>
      <c r="B43" t="s">
        <v>165</v>
      </c>
      <c r="C43" t="s">
        <v>149</v>
      </c>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row>
    <row r="44" spans="1:47" s="7" customFormat="1" x14ac:dyDescent="0.45">
      <c r="A44" t="s">
        <v>33</v>
      </c>
      <c r="B44" t="s">
        <v>97</v>
      </c>
      <c r="C44" t="s">
        <v>95</v>
      </c>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row>
    <row r="45" spans="1:47" s="7" customFormat="1" x14ac:dyDescent="0.45">
      <c r="A45" t="s">
        <v>33</v>
      </c>
      <c r="B45" t="s">
        <v>166</v>
      </c>
      <c r="C45" t="s">
        <v>95</v>
      </c>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row>
    <row r="46" spans="1:47" s="7" customFormat="1" x14ac:dyDescent="0.45">
      <c r="A46" t="s">
        <v>33</v>
      </c>
      <c r="B46" t="s">
        <v>167</v>
      </c>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row>
    <row r="47" spans="1:47" s="7" customFormat="1" x14ac:dyDescent="0.45">
      <c r="A47" t="s">
        <v>33</v>
      </c>
      <c r="B47" t="s">
        <v>62</v>
      </c>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row>
    <row r="48" spans="1:47" s="7" customFormat="1" x14ac:dyDescent="0.45">
      <c r="A48" t="s">
        <v>33</v>
      </c>
      <c r="B48" t="s">
        <v>84</v>
      </c>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row>
    <row r="49" spans="1:47" s="7" customFormat="1" x14ac:dyDescent="0.45">
      <c r="A49" t="s">
        <v>11</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row>
    <row r="50" spans="1:47" s="7" customFormat="1" x14ac:dyDescent="0.45">
      <c r="A50" t="s">
        <v>11</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row>
    <row r="51" spans="1:47" s="7" customFormat="1" x14ac:dyDescent="0.45">
      <c r="A51" t="s">
        <v>11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row>
    <row r="52" spans="1:47" s="7" customFormat="1" x14ac:dyDescent="0.45">
      <c r="A52" t="s">
        <v>11</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row>
    <row r="53" spans="1:47" s="7" customFormat="1" x14ac:dyDescent="0.45">
      <c r="A53" t="s">
        <v>11</v>
      </c>
      <c r="B53" t="s">
        <v>168</v>
      </c>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row>
    <row r="54" spans="1:47" s="7" customFormat="1" x14ac:dyDescent="0.45">
      <c r="A54" t="s">
        <v>58</v>
      </c>
      <c r="B54" t="s">
        <v>59</v>
      </c>
      <c r="C54" t="s">
        <v>97</v>
      </c>
      <c r="D54" t="s">
        <v>60</v>
      </c>
      <c r="E54" t="s">
        <v>62</v>
      </c>
      <c r="F54" t="s">
        <v>61</v>
      </c>
      <c r="G54" t="s">
        <v>164</v>
      </c>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row>
    <row r="55" spans="1:47" s="7" customFormat="1" x14ac:dyDescent="0.45">
      <c r="A55" t="s">
        <v>56</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row>
    <row r="56" spans="1:47" s="7" customFormat="1" x14ac:dyDescent="0.45">
      <c r="A56" t="s">
        <v>107</v>
      </c>
      <c r="B56" t="s">
        <v>37</v>
      </c>
      <c r="C56" t="s">
        <v>38</v>
      </c>
      <c r="D56" t="s">
        <v>39</v>
      </c>
      <c r="E56" t="s">
        <v>40</v>
      </c>
      <c r="F56" t="s">
        <v>39</v>
      </c>
      <c r="G56" t="s">
        <v>41</v>
      </c>
      <c r="H56" t="s">
        <v>39</v>
      </c>
      <c r="I56" t="s">
        <v>50</v>
      </c>
      <c r="J56" t="s">
        <v>39</v>
      </c>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row>
    <row r="57" spans="1:47" s="7" customFormat="1" x14ac:dyDescent="0.45">
      <c r="A57" t="s">
        <v>42</v>
      </c>
      <c r="B57" t="s">
        <v>52</v>
      </c>
      <c r="C57" t="s">
        <v>43</v>
      </c>
      <c r="D57">
        <v>20000</v>
      </c>
      <c r="E57" t="s">
        <v>152</v>
      </c>
      <c r="F57">
        <v>0</v>
      </c>
      <c r="G57" t="s">
        <v>153</v>
      </c>
      <c r="H57">
        <v>130</v>
      </c>
      <c r="I57" t="s">
        <v>154</v>
      </c>
      <c r="J57">
        <v>2</v>
      </c>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row>
    <row r="58" spans="1:47" s="7" customFormat="1" x14ac:dyDescent="0.45">
      <c r="A58" t="s">
        <v>42</v>
      </c>
      <c r="B58" t="s">
        <v>53</v>
      </c>
      <c r="C58" t="s">
        <v>6</v>
      </c>
      <c r="D58">
        <v>1</v>
      </c>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row>
    <row r="59" spans="1:47" s="7" customFormat="1" x14ac:dyDescent="0.45">
      <c r="A59" t="s">
        <v>42</v>
      </c>
      <c r="B59" t="s">
        <v>54</v>
      </c>
      <c r="C59" t="s">
        <v>166</v>
      </c>
      <c r="D59">
        <v>19625700</v>
      </c>
      <c r="E59" t="s">
        <v>167</v>
      </c>
      <c r="F59">
        <v>19625700</v>
      </c>
      <c r="G59" t="s">
        <v>62</v>
      </c>
      <c r="H59">
        <v>0</v>
      </c>
      <c r="I59" t="s">
        <v>84</v>
      </c>
      <c r="J59">
        <v>196257</v>
      </c>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row>
    <row r="60" spans="1:47" s="7" customFormat="1" x14ac:dyDescent="0.45">
      <c r="A60" t="s">
        <v>42</v>
      </c>
      <c r="B60" t="s">
        <v>55</v>
      </c>
      <c r="C60" t="s">
        <v>159</v>
      </c>
      <c r="D60">
        <v>8033</v>
      </c>
      <c r="E60" t="s">
        <v>160</v>
      </c>
      <c r="F60">
        <v>8033</v>
      </c>
      <c r="G60" t="s">
        <v>161</v>
      </c>
      <c r="H60">
        <v>8033</v>
      </c>
      <c r="I60" t="s">
        <v>162</v>
      </c>
      <c r="J60">
        <v>8033</v>
      </c>
      <c r="K60" t="s">
        <v>163</v>
      </c>
      <c r="L60">
        <v>8033</v>
      </c>
      <c r="M60" t="s">
        <v>97</v>
      </c>
      <c r="N60">
        <v>0</v>
      </c>
      <c r="O60" t="s">
        <v>165</v>
      </c>
      <c r="P60">
        <v>803300</v>
      </c>
      <c r="Q60" t="s">
        <v>164</v>
      </c>
      <c r="R60">
        <v>8033</v>
      </c>
      <c r="S60"/>
      <c r="T60"/>
      <c r="U60"/>
      <c r="V60"/>
      <c r="W60"/>
      <c r="X60"/>
      <c r="Y60"/>
      <c r="Z60"/>
      <c r="AA60"/>
      <c r="AB60"/>
      <c r="AC60"/>
      <c r="AD60"/>
      <c r="AE60"/>
      <c r="AF60"/>
      <c r="AG60"/>
      <c r="AH60"/>
      <c r="AI60"/>
      <c r="AJ60"/>
      <c r="AK60"/>
      <c r="AL60"/>
      <c r="AM60"/>
      <c r="AN60"/>
      <c r="AO60"/>
      <c r="AP60"/>
      <c r="AQ60"/>
      <c r="AR60"/>
      <c r="AS60"/>
      <c r="AT60"/>
      <c r="AU60"/>
    </row>
    <row r="61" spans="1:47" s="7" customFormat="1" x14ac:dyDescent="0.45">
      <c r="A61" t="s">
        <v>46</v>
      </c>
      <c r="B61" t="s">
        <v>52</v>
      </c>
      <c r="C61" t="s">
        <v>43</v>
      </c>
      <c r="D61">
        <v>1</v>
      </c>
      <c r="E61" t="s">
        <v>152</v>
      </c>
      <c r="F61">
        <v>0</v>
      </c>
      <c r="G61" t="s">
        <v>153</v>
      </c>
      <c r="H61">
        <v>60</v>
      </c>
      <c r="I61" t="s">
        <v>154</v>
      </c>
      <c r="J61">
        <v>10</v>
      </c>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row>
    <row r="62" spans="1:47" s="7" customFormat="1" x14ac:dyDescent="0.45">
      <c r="A62" t="s">
        <v>46</v>
      </c>
      <c r="B62" t="s">
        <v>53</v>
      </c>
      <c r="C62" t="s">
        <v>7</v>
      </c>
      <c r="D62">
        <v>1</v>
      </c>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row>
    <row r="63" spans="1:47" s="7" customFormat="1" x14ac:dyDescent="0.45">
      <c r="A63" t="s">
        <v>46</v>
      </c>
      <c r="B63" t="s">
        <v>54</v>
      </c>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row>
    <row r="64" spans="1:47" s="7" customFormat="1" x14ac:dyDescent="0.45">
      <c r="A64" t="s">
        <v>46</v>
      </c>
      <c r="B64" t="s">
        <v>55</v>
      </c>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row>
    <row r="65" spans="1:47" s="7" customFormat="1" x14ac:dyDescent="0.45">
      <c r="A65" t="s">
        <v>47</v>
      </c>
      <c r="B65" t="s">
        <v>52</v>
      </c>
      <c r="C65" t="s">
        <v>43</v>
      </c>
      <c r="D65">
        <v>1</v>
      </c>
      <c r="E65" t="s">
        <v>152</v>
      </c>
      <c r="F65">
        <v>0</v>
      </c>
      <c r="G65" t="s">
        <v>153</v>
      </c>
      <c r="H65">
        <v>60</v>
      </c>
      <c r="I65" t="s">
        <v>154</v>
      </c>
      <c r="J65">
        <v>10</v>
      </c>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row>
    <row r="66" spans="1:47" s="7" customFormat="1" x14ac:dyDescent="0.45">
      <c r="A66" t="s">
        <v>47</v>
      </c>
      <c r="B66" t="s">
        <v>53</v>
      </c>
      <c r="C66" t="s">
        <v>8</v>
      </c>
      <c r="D66">
        <v>1</v>
      </c>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row>
    <row r="67" spans="1:47" s="7" customFormat="1" x14ac:dyDescent="0.45">
      <c r="A67" t="s">
        <v>47</v>
      </c>
      <c r="B67" t="s">
        <v>54</v>
      </c>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row>
    <row r="68" spans="1:47" s="7" customFormat="1" x14ac:dyDescent="0.45">
      <c r="A68" t="s">
        <v>47</v>
      </c>
      <c r="B68" t="s">
        <v>55</v>
      </c>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row>
    <row r="69" spans="1:47" s="7" customFormat="1" x14ac:dyDescent="0.45">
      <c r="A69" t="s">
        <v>48</v>
      </c>
      <c r="B69" t="s">
        <v>52</v>
      </c>
      <c r="C69" t="s">
        <v>43</v>
      </c>
      <c r="D69">
        <v>1</v>
      </c>
      <c r="E69" t="s">
        <v>152</v>
      </c>
      <c r="F69">
        <v>0</v>
      </c>
      <c r="G69" t="s">
        <v>153</v>
      </c>
      <c r="H69">
        <v>60</v>
      </c>
      <c r="I69" t="s">
        <v>154</v>
      </c>
      <c r="J69">
        <v>10</v>
      </c>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row>
    <row r="70" spans="1:47" s="7" customFormat="1" x14ac:dyDescent="0.45">
      <c r="A70" t="s">
        <v>48</v>
      </c>
      <c r="B70" t="s">
        <v>53</v>
      </c>
      <c r="C70" t="s">
        <v>9</v>
      </c>
      <c r="D70">
        <v>1</v>
      </c>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row>
    <row r="71" spans="1:47" s="7" customFormat="1" x14ac:dyDescent="0.45">
      <c r="A71" t="s">
        <v>48</v>
      </c>
      <c r="B71" t="s">
        <v>54</v>
      </c>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row>
    <row r="72" spans="1:47" s="7" customFormat="1" x14ac:dyDescent="0.45">
      <c r="A72" t="s">
        <v>48</v>
      </c>
      <c r="B72" t="s">
        <v>55</v>
      </c>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row>
    <row r="73" spans="1:47" s="7" customFormat="1" x14ac:dyDescent="0.45">
      <c r="A73" t="s">
        <v>49</v>
      </c>
      <c r="B73" t="s">
        <v>52</v>
      </c>
      <c r="C73" t="s">
        <v>43</v>
      </c>
      <c r="D73">
        <v>1</v>
      </c>
      <c r="E73" t="s">
        <v>152</v>
      </c>
      <c r="F73">
        <v>0</v>
      </c>
      <c r="G73" t="s">
        <v>153</v>
      </c>
      <c r="H73">
        <v>130</v>
      </c>
      <c r="I73" t="s">
        <v>154</v>
      </c>
      <c r="J73">
        <v>2</v>
      </c>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row>
    <row r="74" spans="1:47" s="7" customFormat="1" x14ac:dyDescent="0.45">
      <c r="A74" t="s">
        <v>49</v>
      </c>
      <c r="B74" t="s">
        <v>53</v>
      </c>
      <c r="C74" t="s">
        <v>10</v>
      </c>
      <c r="D74">
        <v>1</v>
      </c>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row>
    <row r="75" spans="1:47" x14ac:dyDescent="0.45">
      <c r="A75" t="s">
        <v>49</v>
      </c>
      <c r="B75" t="s">
        <v>54</v>
      </c>
      <c r="C75" t="s">
        <v>166</v>
      </c>
      <c r="D75">
        <v>0</v>
      </c>
      <c r="E75" t="s">
        <v>167</v>
      </c>
      <c r="F75">
        <v>0</v>
      </c>
      <c r="G75" t="s">
        <v>62</v>
      </c>
      <c r="H75">
        <v>0</v>
      </c>
      <c r="I75" t="s">
        <v>84</v>
      </c>
      <c r="J75">
        <v>0</v>
      </c>
    </row>
    <row r="76" spans="1:47" x14ac:dyDescent="0.45">
      <c r="A76" t="s">
        <v>49</v>
      </c>
      <c r="B76" t="s">
        <v>55</v>
      </c>
      <c r="C76" t="s">
        <v>159</v>
      </c>
      <c r="D76">
        <v>0</v>
      </c>
      <c r="E76" t="s">
        <v>160</v>
      </c>
      <c r="F76">
        <v>0</v>
      </c>
      <c r="G76" t="s">
        <v>161</v>
      </c>
      <c r="H76">
        <v>0</v>
      </c>
      <c r="I76" t="s">
        <v>162</v>
      </c>
      <c r="J76">
        <v>0</v>
      </c>
      <c r="K76" t="s">
        <v>163</v>
      </c>
      <c r="L76">
        <v>0</v>
      </c>
      <c r="M76" t="s">
        <v>97</v>
      </c>
      <c r="N76">
        <v>0</v>
      </c>
      <c r="O76" t="s">
        <v>165</v>
      </c>
      <c r="P76">
        <v>0</v>
      </c>
      <c r="Q76" t="s">
        <v>164</v>
      </c>
      <c r="R76">
        <v>0</v>
      </c>
    </row>
    <row r="77" spans="1:47" x14ac:dyDescent="0.45">
      <c r="A77" t="s">
        <v>63</v>
      </c>
      <c r="B77" t="s">
        <v>52</v>
      </c>
      <c r="C77" t="s">
        <v>43</v>
      </c>
      <c r="D77">
        <v>1</v>
      </c>
      <c r="E77" t="s">
        <v>152</v>
      </c>
      <c r="F77">
        <v>0</v>
      </c>
      <c r="G77" t="s">
        <v>153</v>
      </c>
      <c r="H77">
        <v>30</v>
      </c>
      <c r="I77" t="s">
        <v>154</v>
      </c>
      <c r="J77">
        <v>2</v>
      </c>
    </row>
    <row r="78" spans="1:47" x14ac:dyDescent="0.45">
      <c r="A78" t="s">
        <v>63</v>
      </c>
      <c r="B78" t="s">
        <v>53</v>
      </c>
      <c r="C78" t="s">
        <v>9</v>
      </c>
      <c r="D78">
        <v>1</v>
      </c>
    </row>
    <row r="79" spans="1:47" x14ac:dyDescent="0.45">
      <c r="A79" t="s">
        <v>63</v>
      </c>
      <c r="B79" t="s">
        <v>54</v>
      </c>
    </row>
    <row r="80" spans="1:47" x14ac:dyDescent="0.45">
      <c r="A80" t="s">
        <v>63</v>
      </c>
      <c r="B80" t="s">
        <v>55</v>
      </c>
    </row>
    <row r="81" spans="1:10" x14ac:dyDescent="0.45">
      <c r="A81" t="s">
        <v>156</v>
      </c>
      <c r="B81" t="s">
        <v>52</v>
      </c>
      <c r="C81" t="s">
        <v>43</v>
      </c>
      <c r="D81">
        <v>1</v>
      </c>
      <c r="E81" t="s">
        <v>152</v>
      </c>
      <c r="F81">
        <v>0</v>
      </c>
      <c r="G81" t="s">
        <v>153</v>
      </c>
      <c r="H81">
        <v>100</v>
      </c>
      <c r="I81" t="s">
        <v>154</v>
      </c>
      <c r="J81">
        <v>2</v>
      </c>
    </row>
    <row r="82" spans="1:10" x14ac:dyDescent="0.45">
      <c r="A82" t="s">
        <v>156</v>
      </c>
      <c r="B82" t="s">
        <v>53</v>
      </c>
      <c r="C82" t="s">
        <v>6</v>
      </c>
      <c r="D82">
        <v>1</v>
      </c>
    </row>
    <row r="83" spans="1:10" x14ac:dyDescent="0.45">
      <c r="A83" t="s">
        <v>156</v>
      </c>
      <c r="B83" t="s">
        <v>54</v>
      </c>
    </row>
    <row r="84" spans="1:10" x14ac:dyDescent="0.45">
      <c r="A84" t="s">
        <v>156</v>
      </c>
      <c r="B84" t="s">
        <v>55</v>
      </c>
    </row>
    <row r="85" spans="1:10" x14ac:dyDescent="0.45">
      <c r="A85" t="s">
        <v>11</v>
      </c>
    </row>
    <row r="86" spans="1:10" x14ac:dyDescent="0.45">
      <c r="A86" t="s">
        <v>11</v>
      </c>
    </row>
    <row r="87" spans="1:10" x14ac:dyDescent="0.45">
      <c r="A87" t="s">
        <v>11</v>
      </c>
    </row>
    <row r="88" spans="1:10" x14ac:dyDescent="0.45">
      <c r="A88" t="s">
        <v>11</v>
      </c>
    </row>
    <row r="89" spans="1:10" x14ac:dyDescent="0.45">
      <c r="A89" t="s">
        <v>11</v>
      </c>
    </row>
    <row r="90" spans="1:10" x14ac:dyDescent="0.45">
      <c r="A90"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90"/>
  <sheetViews>
    <sheetView tabSelected="1" workbookViewId="0">
      <selection activeCell="E1" sqref="E1"/>
    </sheetView>
  </sheetViews>
  <sheetFormatPr baseColWidth="10" defaultRowHeight="14.25" x14ac:dyDescent="0.45"/>
  <cols>
    <col min="1" max="1" width="23.19921875" bestFit="1" customWidth="1"/>
    <col min="2" max="2" width="18.73046875" bestFit="1" customWidth="1"/>
    <col min="3" max="3" width="12.06640625" bestFit="1" customWidth="1"/>
    <col min="4" max="4" width="21.1328125" bestFit="1" customWidth="1"/>
    <col min="5" max="5" width="15" bestFit="1" customWidth="1"/>
    <col min="6" max="6" width="15.1328125" bestFit="1" customWidth="1"/>
    <col min="7" max="7" width="10.1328125" bestFit="1" customWidth="1"/>
    <col min="8" max="8" width="9.1328125" bestFit="1" customWidth="1"/>
    <col min="9" max="9" width="10.1328125" bestFit="1" customWidth="1"/>
    <col min="10" max="10" width="8.86328125" bestFit="1" customWidth="1"/>
    <col min="11" max="11" width="5.33203125" bestFit="1" customWidth="1"/>
    <col min="12" max="12" width="3.9296875" bestFit="1" customWidth="1"/>
    <col min="13" max="13" width="1.73046875" bestFit="1" customWidth="1"/>
  </cols>
  <sheetData>
    <row r="1" spans="1:13" x14ac:dyDescent="0.45">
      <c r="A1" t="s">
        <v>106</v>
      </c>
    </row>
    <row r="2" spans="1:13" x14ac:dyDescent="0.45">
      <c r="A2" t="s">
        <v>1</v>
      </c>
      <c r="B2" t="s">
        <v>2</v>
      </c>
      <c r="C2">
        <v>17.5</v>
      </c>
      <c r="D2" t="s">
        <v>69</v>
      </c>
      <c r="E2">
        <v>0.5</v>
      </c>
      <c r="F2" t="s">
        <v>75</v>
      </c>
      <c r="G2">
        <v>0.5</v>
      </c>
      <c r="H2" t="s">
        <v>107</v>
      </c>
      <c r="I2">
        <v>1</v>
      </c>
    </row>
    <row r="3" spans="1:13" x14ac:dyDescent="0.45">
      <c r="A3" t="s">
        <v>1</v>
      </c>
      <c r="B3" t="s">
        <v>108</v>
      </c>
      <c r="C3">
        <v>1</v>
      </c>
      <c r="D3" t="s">
        <v>109</v>
      </c>
      <c r="E3">
        <v>0</v>
      </c>
      <c r="F3" t="s">
        <v>110</v>
      </c>
      <c r="G3">
        <v>0.5</v>
      </c>
    </row>
    <row r="4" spans="1:13" x14ac:dyDescent="0.45">
      <c r="A4" t="s">
        <v>0</v>
      </c>
    </row>
    <row r="5" spans="1:13" x14ac:dyDescent="0.45">
      <c r="A5" t="s">
        <v>111</v>
      </c>
      <c r="B5" t="s">
        <v>112</v>
      </c>
      <c r="C5">
        <v>9000000</v>
      </c>
      <c r="D5" t="s">
        <v>113</v>
      </c>
      <c r="E5">
        <v>7200000000</v>
      </c>
    </row>
    <row r="6" spans="1:13" x14ac:dyDescent="0.45">
      <c r="A6" t="s">
        <v>5</v>
      </c>
      <c r="B6" t="s">
        <v>6</v>
      </c>
      <c r="C6">
        <v>1</v>
      </c>
      <c r="D6" t="s">
        <v>7</v>
      </c>
      <c r="E6">
        <v>1</v>
      </c>
      <c r="F6" t="s">
        <v>8</v>
      </c>
      <c r="G6">
        <v>1</v>
      </c>
      <c r="H6" t="s">
        <v>9</v>
      </c>
      <c r="I6">
        <v>1</v>
      </c>
      <c r="J6" t="s">
        <v>10</v>
      </c>
      <c r="K6">
        <v>1</v>
      </c>
    </row>
    <row r="7" spans="1:13" x14ac:dyDescent="0.45">
      <c r="A7" t="s">
        <v>74</v>
      </c>
    </row>
    <row r="8" spans="1:13" x14ac:dyDescent="0.45">
      <c r="A8" t="s">
        <v>114</v>
      </c>
    </row>
    <row r="9" spans="1:13" x14ac:dyDescent="0.45">
      <c r="A9" t="s">
        <v>115</v>
      </c>
      <c r="B9" t="s">
        <v>11</v>
      </c>
    </row>
    <row r="10" spans="1:13" x14ac:dyDescent="0.45">
      <c r="A10" t="s">
        <v>116</v>
      </c>
    </row>
    <row r="11" spans="1:13" x14ac:dyDescent="0.45">
      <c r="A11" t="s">
        <v>117</v>
      </c>
      <c r="B11" t="s">
        <v>118</v>
      </c>
      <c r="C11">
        <v>2400000</v>
      </c>
      <c r="D11" t="s">
        <v>119</v>
      </c>
      <c r="E11">
        <v>4800000000</v>
      </c>
    </row>
    <row r="12" spans="1:13" x14ac:dyDescent="0.45">
      <c r="A12" t="s">
        <v>72</v>
      </c>
      <c r="B12" t="s">
        <v>120</v>
      </c>
      <c r="C12">
        <v>0</v>
      </c>
      <c r="D12" t="s">
        <v>121</v>
      </c>
      <c r="E12">
        <v>0</v>
      </c>
      <c r="F12" t="s">
        <v>122</v>
      </c>
      <c r="G12">
        <v>0</v>
      </c>
      <c r="H12" t="s">
        <v>123</v>
      </c>
      <c r="I12">
        <v>0</v>
      </c>
      <c r="J12" t="s">
        <v>124</v>
      </c>
      <c r="K12">
        <v>0</v>
      </c>
      <c r="L12" t="s">
        <v>125</v>
      </c>
      <c r="M12">
        <v>0</v>
      </c>
    </row>
    <row r="13" spans="1:13" x14ac:dyDescent="0.45">
      <c r="A13" t="s">
        <v>126</v>
      </c>
    </row>
    <row r="14" spans="1:13" x14ac:dyDescent="0.45">
      <c r="A14" t="s">
        <v>127</v>
      </c>
      <c r="B14" t="s">
        <v>120</v>
      </c>
      <c r="C14">
        <v>0.5</v>
      </c>
      <c r="D14" t="s">
        <v>121</v>
      </c>
      <c r="E14">
        <v>0.5</v>
      </c>
      <c r="F14" t="s">
        <v>122</v>
      </c>
      <c r="G14">
        <v>0.5</v>
      </c>
      <c r="H14" t="s">
        <v>125</v>
      </c>
      <c r="I14">
        <v>0.5</v>
      </c>
    </row>
    <row r="15" spans="1:13" x14ac:dyDescent="0.45">
      <c r="A15" t="s">
        <v>128</v>
      </c>
      <c r="B15" t="s">
        <v>11</v>
      </c>
    </row>
    <row r="16" spans="1:13" x14ac:dyDescent="0.45">
      <c r="A16" t="s">
        <v>11</v>
      </c>
    </row>
    <row r="17" spans="1:11" x14ac:dyDescent="0.45">
      <c r="A17" t="s">
        <v>12</v>
      </c>
    </row>
    <row r="18" spans="1:11" x14ac:dyDescent="0.45">
      <c r="A18" t="s">
        <v>129</v>
      </c>
      <c r="B18" t="s">
        <v>130</v>
      </c>
    </row>
    <row r="19" spans="1:11" x14ac:dyDescent="0.45">
      <c r="A19" t="s">
        <v>131</v>
      </c>
      <c r="B19" t="s">
        <v>11</v>
      </c>
    </row>
    <row r="20" spans="1:11" x14ac:dyDescent="0.45">
      <c r="A20" t="s">
        <v>13</v>
      </c>
      <c r="B20" t="s">
        <v>14</v>
      </c>
      <c r="C20">
        <v>1</v>
      </c>
      <c r="D20" t="s">
        <v>132</v>
      </c>
      <c r="E20">
        <v>0.1</v>
      </c>
    </row>
    <row r="21" spans="1:11" x14ac:dyDescent="0.45">
      <c r="A21" t="s">
        <v>13</v>
      </c>
      <c r="B21" t="s">
        <v>19</v>
      </c>
      <c r="C21">
        <v>0.1</v>
      </c>
      <c r="D21" t="s">
        <v>15</v>
      </c>
      <c r="E21">
        <v>1</v>
      </c>
      <c r="F21" t="s">
        <v>133</v>
      </c>
      <c r="G21">
        <v>0.5</v>
      </c>
    </row>
    <row r="22" spans="1:11" x14ac:dyDescent="0.45">
      <c r="A22" t="s">
        <v>13</v>
      </c>
      <c r="B22" t="s">
        <v>77</v>
      </c>
      <c r="C22">
        <v>0</v>
      </c>
      <c r="D22" t="s">
        <v>64</v>
      </c>
      <c r="E22">
        <v>0.5</v>
      </c>
      <c r="F22" t="s">
        <v>16</v>
      </c>
      <c r="G22">
        <v>1</v>
      </c>
      <c r="H22" t="s">
        <v>134</v>
      </c>
      <c r="I22">
        <v>0.5</v>
      </c>
    </row>
    <row r="23" spans="1:11" x14ac:dyDescent="0.45">
      <c r="A23" t="s">
        <v>13</v>
      </c>
      <c r="B23" t="s">
        <v>20</v>
      </c>
      <c r="C23">
        <v>0</v>
      </c>
      <c r="D23" t="s">
        <v>78</v>
      </c>
      <c r="E23">
        <v>0</v>
      </c>
      <c r="F23" t="s">
        <v>80</v>
      </c>
      <c r="G23">
        <v>0.5</v>
      </c>
      <c r="H23" t="s">
        <v>17</v>
      </c>
      <c r="I23">
        <v>1</v>
      </c>
      <c r="J23" t="s">
        <v>135</v>
      </c>
      <c r="K23">
        <v>0.1</v>
      </c>
    </row>
    <row r="24" spans="1:11" x14ac:dyDescent="0.45">
      <c r="A24" t="s">
        <v>13</v>
      </c>
      <c r="B24" t="s">
        <v>76</v>
      </c>
      <c r="C24">
        <v>0</v>
      </c>
      <c r="D24" t="s">
        <v>79</v>
      </c>
      <c r="E24">
        <v>0</v>
      </c>
      <c r="F24" t="s">
        <v>21</v>
      </c>
      <c r="G24">
        <v>0</v>
      </c>
      <c r="H24" t="s">
        <v>81</v>
      </c>
      <c r="I24">
        <v>0.1</v>
      </c>
      <c r="J24" t="s">
        <v>18</v>
      </c>
      <c r="K24">
        <v>1</v>
      </c>
    </row>
    <row r="25" spans="1:11" x14ac:dyDescent="0.45">
      <c r="A25" t="s">
        <v>11</v>
      </c>
    </row>
    <row r="26" spans="1:11" x14ac:dyDescent="0.45">
      <c r="A26" t="s">
        <v>11</v>
      </c>
    </row>
    <row r="27" spans="1:11" x14ac:dyDescent="0.45">
      <c r="A27" t="s">
        <v>11</v>
      </c>
    </row>
    <row r="28" spans="1:11" x14ac:dyDescent="0.45">
      <c r="A28" t="s">
        <v>102</v>
      </c>
    </row>
    <row r="29" spans="1:11" x14ac:dyDescent="0.45">
      <c r="A29" t="s">
        <v>31</v>
      </c>
      <c r="B29" t="s">
        <v>6</v>
      </c>
      <c r="C29" t="s">
        <v>7</v>
      </c>
      <c r="D29" t="s">
        <v>8</v>
      </c>
      <c r="E29" t="s">
        <v>9</v>
      </c>
      <c r="F29" t="s">
        <v>10</v>
      </c>
    </row>
    <row r="30" spans="1:11" x14ac:dyDescent="0.45">
      <c r="A30" t="s">
        <v>32</v>
      </c>
      <c r="B30" t="s">
        <v>6</v>
      </c>
      <c r="C30">
        <v>0.2</v>
      </c>
      <c r="D30" t="s">
        <v>7</v>
      </c>
      <c r="E30">
        <v>1</v>
      </c>
      <c r="F30" t="s">
        <v>8</v>
      </c>
      <c r="G30">
        <v>1</v>
      </c>
      <c r="H30" t="s">
        <v>9</v>
      </c>
      <c r="I30">
        <v>1</v>
      </c>
      <c r="J30" t="s">
        <v>10</v>
      </c>
      <c r="K30">
        <v>0</v>
      </c>
    </row>
    <row r="31" spans="1:11" x14ac:dyDescent="0.45">
      <c r="A31" t="s">
        <v>136</v>
      </c>
      <c r="B31" t="s">
        <v>6</v>
      </c>
      <c r="C31">
        <v>-1E-3</v>
      </c>
      <c r="D31" t="s">
        <v>7</v>
      </c>
      <c r="E31">
        <v>0</v>
      </c>
      <c r="F31" t="s">
        <v>8</v>
      </c>
      <c r="G31">
        <v>0</v>
      </c>
      <c r="H31" t="s">
        <v>9</v>
      </c>
      <c r="I31">
        <v>0</v>
      </c>
      <c r="J31" t="s">
        <v>10</v>
      </c>
      <c r="K31">
        <v>0.1</v>
      </c>
    </row>
    <row r="32" spans="1:11" x14ac:dyDescent="0.45">
      <c r="A32" t="s">
        <v>137</v>
      </c>
      <c r="B32" t="s">
        <v>6</v>
      </c>
      <c r="C32">
        <v>-1E-3</v>
      </c>
      <c r="D32" t="s">
        <v>7</v>
      </c>
      <c r="E32">
        <v>-1</v>
      </c>
      <c r="F32" t="s">
        <v>8</v>
      </c>
      <c r="G32">
        <v>-1</v>
      </c>
      <c r="H32" t="s">
        <v>9</v>
      </c>
      <c r="I32">
        <v>-1</v>
      </c>
      <c r="J32" t="s">
        <v>10</v>
      </c>
      <c r="K32">
        <v>-0.01</v>
      </c>
    </row>
    <row r="33" spans="1:11" x14ac:dyDescent="0.45">
      <c r="A33" t="s">
        <v>70</v>
      </c>
      <c r="B33" t="s">
        <v>6</v>
      </c>
      <c r="C33">
        <v>0</v>
      </c>
      <c r="D33" t="s">
        <v>7</v>
      </c>
      <c r="E33">
        <v>0</v>
      </c>
      <c r="F33" t="s">
        <v>8</v>
      </c>
      <c r="G33">
        <v>0</v>
      </c>
      <c r="H33" t="s">
        <v>9</v>
      </c>
      <c r="I33">
        <v>0</v>
      </c>
      <c r="J33" t="s">
        <v>10</v>
      </c>
      <c r="K33">
        <v>1</v>
      </c>
    </row>
    <row r="34" spans="1:11" x14ac:dyDescent="0.45">
      <c r="A34" t="s">
        <v>138</v>
      </c>
      <c r="B34" t="s">
        <v>6</v>
      </c>
      <c r="C34" t="s">
        <v>139</v>
      </c>
      <c r="D34" t="s">
        <v>7</v>
      </c>
      <c r="E34" t="s">
        <v>140</v>
      </c>
      <c r="F34" t="s">
        <v>8</v>
      </c>
      <c r="G34" t="s">
        <v>141</v>
      </c>
      <c r="H34" t="s">
        <v>9</v>
      </c>
      <c r="I34" t="s">
        <v>142</v>
      </c>
      <c r="J34" t="s">
        <v>10</v>
      </c>
      <c r="K34" t="s">
        <v>143</v>
      </c>
    </row>
    <row r="35" spans="1:11" x14ac:dyDescent="0.45">
      <c r="A35" t="s">
        <v>22</v>
      </c>
      <c r="B35" t="s">
        <v>125</v>
      </c>
      <c r="C35" t="s">
        <v>144</v>
      </c>
      <c r="D35" t="s">
        <v>120</v>
      </c>
      <c r="E35" t="s">
        <v>145</v>
      </c>
      <c r="F35" t="s">
        <v>97</v>
      </c>
      <c r="G35" t="s">
        <v>122</v>
      </c>
    </row>
    <row r="36" spans="1:11" x14ac:dyDescent="0.45">
      <c r="A36" t="s">
        <v>26</v>
      </c>
      <c r="B36" t="s">
        <v>146</v>
      </c>
      <c r="C36" t="s">
        <v>62</v>
      </c>
      <c r="D36" t="s">
        <v>84</v>
      </c>
      <c r="E36" t="s">
        <v>147</v>
      </c>
    </row>
    <row r="37" spans="1:11" x14ac:dyDescent="0.45">
      <c r="A37" t="s">
        <v>33</v>
      </c>
      <c r="B37" t="s">
        <v>125</v>
      </c>
      <c r="C37" t="s">
        <v>148</v>
      </c>
    </row>
    <row r="38" spans="1:11" x14ac:dyDescent="0.45">
      <c r="A38" t="s">
        <v>33</v>
      </c>
      <c r="B38" t="s">
        <v>122</v>
      </c>
      <c r="C38" t="s">
        <v>94</v>
      </c>
    </row>
    <row r="39" spans="1:11" x14ac:dyDescent="0.45">
      <c r="A39" t="s">
        <v>33</v>
      </c>
      <c r="B39" t="s">
        <v>120</v>
      </c>
    </row>
    <row r="40" spans="1:11" x14ac:dyDescent="0.45">
      <c r="A40" t="s">
        <v>33</v>
      </c>
      <c r="B40" t="s">
        <v>145</v>
      </c>
      <c r="C40" t="s">
        <v>149</v>
      </c>
    </row>
    <row r="41" spans="1:11" x14ac:dyDescent="0.45">
      <c r="A41" t="s">
        <v>33</v>
      </c>
      <c r="B41" t="s">
        <v>144</v>
      </c>
      <c r="C41" t="s">
        <v>95</v>
      </c>
    </row>
    <row r="42" spans="1:11" x14ac:dyDescent="0.45">
      <c r="A42" t="s">
        <v>33</v>
      </c>
      <c r="B42" t="s">
        <v>97</v>
      </c>
      <c r="C42" t="s">
        <v>95</v>
      </c>
    </row>
    <row r="43" spans="1:11" x14ac:dyDescent="0.45">
      <c r="A43" t="s">
        <v>33</v>
      </c>
      <c r="B43" t="s">
        <v>147</v>
      </c>
      <c r="C43" t="s">
        <v>95</v>
      </c>
    </row>
    <row r="44" spans="1:11" x14ac:dyDescent="0.45">
      <c r="A44" t="s">
        <v>33</v>
      </c>
      <c r="B44" t="s">
        <v>124</v>
      </c>
      <c r="C44" t="s">
        <v>150</v>
      </c>
      <c r="D44" t="s">
        <v>151</v>
      </c>
    </row>
    <row r="45" spans="1:11" x14ac:dyDescent="0.45">
      <c r="A45" t="s">
        <v>33</v>
      </c>
      <c r="B45" t="s">
        <v>30</v>
      </c>
      <c r="C45" t="s">
        <v>95</v>
      </c>
    </row>
    <row r="46" spans="1:11" x14ac:dyDescent="0.45">
      <c r="A46" t="s">
        <v>33</v>
      </c>
      <c r="B46" t="s">
        <v>146</v>
      </c>
    </row>
    <row r="47" spans="1:11" x14ac:dyDescent="0.45">
      <c r="A47" t="s">
        <v>33</v>
      </c>
      <c r="B47" t="s">
        <v>62</v>
      </c>
    </row>
    <row r="48" spans="1:11" x14ac:dyDescent="0.45">
      <c r="A48" t="s">
        <v>33</v>
      </c>
      <c r="B48" t="s">
        <v>84</v>
      </c>
    </row>
    <row r="49" spans="1:10" x14ac:dyDescent="0.45">
      <c r="A49" t="s">
        <v>11</v>
      </c>
    </row>
    <row r="50" spans="1:10" x14ac:dyDescent="0.45">
      <c r="A50" t="s">
        <v>11</v>
      </c>
    </row>
    <row r="51" spans="1:10" x14ac:dyDescent="0.45">
      <c r="A51" t="s">
        <v>11</v>
      </c>
    </row>
    <row r="52" spans="1:10" x14ac:dyDescent="0.45">
      <c r="A52" t="s">
        <v>11</v>
      </c>
    </row>
    <row r="53" spans="1:10" x14ac:dyDescent="0.45">
      <c r="A53" t="s">
        <v>11</v>
      </c>
    </row>
    <row r="54" spans="1:10" x14ac:dyDescent="0.45">
      <c r="A54" t="s">
        <v>58</v>
      </c>
      <c r="B54" t="s">
        <v>59</v>
      </c>
      <c r="C54" t="s">
        <v>146</v>
      </c>
      <c r="D54" t="s">
        <v>60</v>
      </c>
      <c r="E54" t="s">
        <v>147</v>
      </c>
      <c r="F54" t="s">
        <v>61</v>
      </c>
      <c r="G54" t="s">
        <v>122</v>
      </c>
    </row>
    <row r="55" spans="1:10" x14ac:dyDescent="0.45">
      <c r="A55" t="s">
        <v>56</v>
      </c>
    </row>
    <row r="56" spans="1:10" x14ac:dyDescent="0.45">
      <c r="A56" t="s">
        <v>107</v>
      </c>
      <c r="B56" t="s">
        <v>37</v>
      </c>
      <c r="C56" t="s">
        <v>38</v>
      </c>
      <c r="D56" t="s">
        <v>39</v>
      </c>
      <c r="E56" t="s">
        <v>40</v>
      </c>
      <c r="F56" t="s">
        <v>39</v>
      </c>
      <c r="G56" t="s">
        <v>41</v>
      </c>
      <c r="H56" t="s">
        <v>39</v>
      </c>
      <c r="I56" t="s">
        <v>50</v>
      </c>
      <c r="J56" t="s">
        <v>39</v>
      </c>
    </row>
    <row r="57" spans="1:10" x14ac:dyDescent="0.45">
      <c r="A57" t="s">
        <v>42</v>
      </c>
      <c r="B57" t="s">
        <v>52</v>
      </c>
      <c r="C57" t="s">
        <v>43</v>
      </c>
      <c r="D57">
        <v>2000000</v>
      </c>
      <c r="E57" t="s">
        <v>152</v>
      </c>
      <c r="F57">
        <v>0</v>
      </c>
      <c r="G57" t="s">
        <v>153</v>
      </c>
      <c r="H57">
        <v>60</v>
      </c>
      <c r="I57" t="s">
        <v>154</v>
      </c>
      <c r="J57">
        <v>2</v>
      </c>
    </row>
    <row r="58" spans="1:10" x14ac:dyDescent="0.45">
      <c r="A58" t="s">
        <v>42</v>
      </c>
      <c r="B58" t="s">
        <v>53</v>
      </c>
      <c r="C58" t="s">
        <v>6</v>
      </c>
      <c r="D58">
        <v>1</v>
      </c>
    </row>
    <row r="59" spans="1:10" x14ac:dyDescent="0.45">
      <c r="A59" t="s">
        <v>42</v>
      </c>
      <c r="B59" t="s">
        <v>54</v>
      </c>
    </row>
    <row r="60" spans="1:10" x14ac:dyDescent="0.45">
      <c r="A60" t="s">
        <v>42</v>
      </c>
      <c r="B60" t="s">
        <v>55</v>
      </c>
    </row>
    <row r="61" spans="1:10" x14ac:dyDescent="0.45">
      <c r="A61" t="s">
        <v>46</v>
      </c>
      <c r="B61" t="s">
        <v>52</v>
      </c>
      <c r="C61" t="s">
        <v>43</v>
      </c>
      <c r="D61">
        <v>1</v>
      </c>
      <c r="E61" t="s">
        <v>152</v>
      </c>
      <c r="F61">
        <v>0</v>
      </c>
      <c r="G61" t="s">
        <v>153</v>
      </c>
      <c r="H61">
        <v>60</v>
      </c>
      <c r="I61" t="s">
        <v>154</v>
      </c>
      <c r="J61">
        <v>10</v>
      </c>
    </row>
    <row r="62" spans="1:10" x14ac:dyDescent="0.45">
      <c r="A62" t="s">
        <v>46</v>
      </c>
      <c r="B62" t="s">
        <v>53</v>
      </c>
      <c r="C62" t="s">
        <v>7</v>
      </c>
      <c r="D62">
        <v>1</v>
      </c>
    </row>
    <row r="63" spans="1:10" x14ac:dyDescent="0.45">
      <c r="A63" t="s">
        <v>46</v>
      </c>
      <c r="B63" t="s">
        <v>54</v>
      </c>
    </row>
    <row r="64" spans="1:10" x14ac:dyDescent="0.45">
      <c r="A64" t="s">
        <v>46</v>
      </c>
      <c r="B64" t="s">
        <v>55</v>
      </c>
    </row>
    <row r="65" spans="1:10" x14ac:dyDescent="0.45">
      <c r="A65" t="s">
        <v>47</v>
      </c>
      <c r="B65" t="s">
        <v>52</v>
      </c>
      <c r="C65" t="s">
        <v>43</v>
      </c>
      <c r="D65">
        <v>1</v>
      </c>
      <c r="E65" t="s">
        <v>152</v>
      </c>
      <c r="F65">
        <v>0</v>
      </c>
      <c r="G65" t="s">
        <v>153</v>
      </c>
      <c r="H65">
        <v>60</v>
      </c>
      <c r="I65" t="s">
        <v>154</v>
      </c>
      <c r="J65">
        <v>10</v>
      </c>
    </row>
    <row r="66" spans="1:10" x14ac:dyDescent="0.45">
      <c r="A66" t="s">
        <v>47</v>
      </c>
      <c r="B66" t="s">
        <v>53</v>
      </c>
      <c r="C66" t="s">
        <v>8</v>
      </c>
      <c r="D66">
        <v>1</v>
      </c>
    </row>
    <row r="67" spans="1:10" x14ac:dyDescent="0.45">
      <c r="A67" t="s">
        <v>47</v>
      </c>
      <c r="B67" t="s">
        <v>54</v>
      </c>
    </row>
    <row r="68" spans="1:10" x14ac:dyDescent="0.45">
      <c r="A68" t="s">
        <v>47</v>
      </c>
      <c r="B68" t="s">
        <v>55</v>
      </c>
    </row>
    <row r="69" spans="1:10" x14ac:dyDescent="0.45">
      <c r="A69" t="s">
        <v>48</v>
      </c>
      <c r="B69" t="s">
        <v>52</v>
      </c>
      <c r="C69" t="s">
        <v>43</v>
      </c>
      <c r="D69">
        <v>1</v>
      </c>
      <c r="E69" t="s">
        <v>152</v>
      </c>
      <c r="F69">
        <v>0</v>
      </c>
      <c r="G69" t="s">
        <v>153</v>
      </c>
      <c r="H69">
        <v>60</v>
      </c>
      <c r="I69" t="s">
        <v>154</v>
      </c>
      <c r="J69">
        <v>10</v>
      </c>
    </row>
    <row r="70" spans="1:10" x14ac:dyDescent="0.45">
      <c r="A70" t="s">
        <v>48</v>
      </c>
      <c r="B70" t="s">
        <v>53</v>
      </c>
      <c r="C70" t="s">
        <v>9</v>
      </c>
      <c r="D70">
        <v>1</v>
      </c>
    </row>
    <row r="71" spans="1:10" x14ac:dyDescent="0.45">
      <c r="A71" t="s">
        <v>48</v>
      </c>
      <c r="B71" t="s">
        <v>54</v>
      </c>
    </row>
    <row r="72" spans="1:10" x14ac:dyDescent="0.45">
      <c r="A72" t="s">
        <v>48</v>
      </c>
      <c r="B72" t="s">
        <v>55</v>
      </c>
    </row>
    <row r="73" spans="1:10" x14ac:dyDescent="0.45">
      <c r="A73" t="s">
        <v>49</v>
      </c>
      <c r="B73" t="s">
        <v>52</v>
      </c>
      <c r="C73" t="s">
        <v>43</v>
      </c>
      <c r="D73">
        <v>2000000</v>
      </c>
      <c r="E73" t="s">
        <v>152</v>
      </c>
      <c r="F73">
        <v>0</v>
      </c>
      <c r="G73" t="s">
        <v>153</v>
      </c>
      <c r="H73">
        <v>60</v>
      </c>
      <c r="I73" t="s">
        <v>154</v>
      </c>
      <c r="J73">
        <v>2</v>
      </c>
    </row>
    <row r="74" spans="1:10" x14ac:dyDescent="0.45">
      <c r="A74" t="s">
        <v>49</v>
      </c>
      <c r="B74" t="s">
        <v>53</v>
      </c>
      <c r="C74" t="s">
        <v>10</v>
      </c>
      <c r="D74">
        <v>1</v>
      </c>
    </row>
    <row r="75" spans="1:10" x14ac:dyDescent="0.45">
      <c r="A75" t="s">
        <v>49</v>
      </c>
      <c r="B75" t="s">
        <v>54</v>
      </c>
    </row>
    <row r="76" spans="1:10" x14ac:dyDescent="0.45">
      <c r="A76" t="s">
        <v>49</v>
      </c>
      <c r="B76" t="s">
        <v>55</v>
      </c>
    </row>
    <row r="77" spans="1:10" x14ac:dyDescent="0.45">
      <c r="A77" t="s">
        <v>63</v>
      </c>
      <c r="B77" t="s">
        <v>52</v>
      </c>
      <c r="C77" t="s">
        <v>43</v>
      </c>
      <c r="D77">
        <v>1</v>
      </c>
      <c r="E77" t="s">
        <v>152</v>
      </c>
      <c r="F77">
        <v>0</v>
      </c>
      <c r="G77" t="s">
        <v>153</v>
      </c>
      <c r="H77">
        <v>30</v>
      </c>
      <c r="I77" t="s">
        <v>154</v>
      </c>
      <c r="J77">
        <v>2</v>
      </c>
    </row>
    <row r="78" spans="1:10" x14ac:dyDescent="0.45">
      <c r="A78" t="s">
        <v>63</v>
      </c>
      <c r="B78" t="s">
        <v>53</v>
      </c>
      <c r="C78" t="s">
        <v>9</v>
      </c>
      <c r="D78">
        <v>1</v>
      </c>
    </row>
    <row r="79" spans="1:10" x14ac:dyDescent="0.45">
      <c r="A79" t="s">
        <v>63</v>
      </c>
      <c r="B79" t="s">
        <v>54</v>
      </c>
      <c r="C79" t="s">
        <v>146</v>
      </c>
      <c r="D79">
        <v>0</v>
      </c>
      <c r="E79" t="s">
        <v>84</v>
      </c>
      <c r="F79">
        <v>1E-4</v>
      </c>
    </row>
    <row r="80" spans="1:10" x14ac:dyDescent="0.45">
      <c r="A80" t="s">
        <v>63</v>
      </c>
      <c r="B80" t="s">
        <v>55</v>
      </c>
      <c r="C80" t="s">
        <v>155</v>
      </c>
      <c r="D80">
        <v>0</v>
      </c>
    </row>
    <row r="81" spans="1:10" x14ac:dyDescent="0.45">
      <c r="A81" t="s">
        <v>156</v>
      </c>
      <c r="B81" t="s">
        <v>52</v>
      </c>
      <c r="C81" t="s">
        <v>43</v>
      </c>
      <c r="D81">
        <v>1</v>
      </c>
      <c r="E81" t="s">
        <v>152</v>
      </c>
      <c r="F81">
        <v>0</v>
      </c>
      <c r="G81" t="s">
        <v>153</v>
      </c>
      <c r="H81">
        <v>100</v>
      </c>
      <c r="I81" t="s">
        <v>154</v>
      </c>
      <c r="J81">
        <v>2</v>
      </c>
    </row>
    <row r="82" spans="1:10" x14ac:dyDescent="0.45">
      <c r="A82" t="s">
        <v>156</v>
      </c>
      <c r="B82" t="s">
        <v>53</v>
      </c>
      <c r="C82" t="s">
        <v>6</v>
      </c>
      <c r="D82">
        <v>1</v>
      </c>
    </row>
    <row r="83" spans="1:10" x14ac:dyDescent="0.45">
      <c r="A83" t="s">
        <v>156</v>
      </c>
      <c r="B83" t="s">
        <v>54</v>
      </c>
      <c r="C83" t="s">
        <v>146</v>
      </c>
      <c r="D83">
        <v>0</v>
      </c>
      <c r="E83" t="s">
        <v>62</v>
      </c>
      <c r="F83">
        <v>0</v>
      </c>
      <c r="G83" t="s">
        <v>84</v>
      </c>
      <c r="H83">
        <v>1E-4</v>
      </c>
      <c r="I83" t="s">
        <v>147</v>
      </c>
      <c r="J83">
        <v>0</v>
      </c>
    </row>
    <row r="84" spans="1:10" x14ac:dyDescent="0.45">
      <c r="A84" t="s">
        <v>156</v>
      </c>
      <c r="B84" t="s">
        <v>55</v>
      </c>
      <c r="C84" t="s">
        <v>120</v>
      </c>
      <c r="D84">
        <v>0</v>
      </c>
      <c r="E84" t="s">
        <v>97</v>
      </c>
      <c r="F84">
        <v>0</v>
      </c>
    </row>
    <row r="85" spans="1:10" x14ac:dyDescent="0.45">
      <c r="A85" t="s">
        <v>11</v>
      </c>
    </row>
    <row r="86" spans="1:10" x14ac:dyDescent="0.45">
      <c r="A86" t="s">
        <v>11</v>
      </c>
    </row>
    <row r="87" spans="1:10" x14ac:dyDescent="0.45">
      <c r="A87" t="s">
        <v>11</v>
      </c>
    </row>
    <row r="88" spans="1:10" x14ac:dyDescent="0.45">
      <c r="A88" t="s">
        <v>11</v>
      </c>
    </row>
    <row r="89" spans="1:10" x14ac:dyDescent="0.45">
      <c r="A89" t="s">
        <v>11</v>
      </c>
    </row>
    <row r="90" spans="1:10" x14ac:dyDescent="0.45">
      <c r="A90"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E76"/>
  <sheetViews>
    <sheetView zoomScale="79" zoomScaleNormal="79" workbookViewId="0">
      <selection sqref="A1:AF75"/>
    </sheetView>
  </sheetViews>
  <sheetFormatPr baseColWidth="10" defaultRowHeight="14.25" x14ac:dyDescent="0.45"/>
  <cols>
    <col min="1" max="1" width="10.9296875" style="1"/>
    <col min="2" max="2" width="23.73046875" style="1" customWidth="1"/>
    <col min="3" max="3" width="10.9296875" style="2"/>
    <col min="4" max="5" width="10.9296875" style="1"/>
    <col min="6" max="6" width="13.73046875" style="1" customWidth="1"/>
    <col min="7" max="15" width="10.929687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69</v>
      </c>
      <c r="I2" s="11">
        <v>0.5</v>
      </c>
      <c r="J2" s="11" t="s">
        <v>75</v>
      </c>
      <c r="K2" s="11">
        <v>0.5</v>
      </c>
      <c r="L2" s="11"/>
      <c r="M2" s="11"/>
      <c r="N2" s="11"/>
      <c r="O2" s="11"/>
    </row>
    <row r="3" spans="1:31" s="7" customFormat="1" x14ac:dyDescent="0.45">
      <c r="A3" s="11" t="s">
        <v>11</v>
      </c>
      <c r="B3" s="11"/>
      <c r="C3" s="12"/>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74</v>
      </c>
      <c r="B6" s="11"/>
      <c r="C6" s="11"/>
      <c r="D6" s="11"/>
      <c r="E6" s="11"/>
      <c r="F6" s="11"/>
      <c r="G6" s="11"/>
      <c r="H6" s="11"/>
      <c r="I6" s="11"/>
      <c r="J6" s="11"/>
      <c r="K6" s="11"/>
      <c r="L6" s="11"/>
      <c r="M6" s="11"/>
      <c r="N6" s="11"/>
      <c r="O6" s="11"/>
    </row>
    <row r="7" spans="1:31" s="7" customFormat="1" x14ac:dyDescent="0.45">
      <c r="A7" s="11" t="s">
        <v>72</v>
      </c>
      <c r="B7" s="11" t="s">
        <v>99</v>
      </c>
      <c r="C7" s="12">
        <v>0</v>
      </c>
      <c r="D7" s="11" t="s">
        <v>82</v>
      </c>
      <c r="E7" s="12">
        <v>0</v>
      </c>
      <c r="F7" s="11"/>
      <c r="G7" s="12"/>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77</v>
      </c>
      <c r="O16" s="12">
        <v>1E-4</v>
      </c>
      <c r="P16" s="11" t="s">
        <v>20</v>
      </c>
      <c r="Q16" s="12">
        <v>1E-3</v>
      </c>
      <c r="R16" s="11" t="s">
        <v>76</v>
      </c>
      <c r="S16" s="12">
        <v>1E-3</v>
      </c>
      <c r="T16" s="7" t="s">
        <v>64</v>
      </c>
      <c r="U16" s="7">
        <v>0.3</v>
      </c>
      <c r="V16" s="7" t="s">
        <v>78</v>
      </c>
      <c r="W16" s="7">
        <v>0.03</v>
      </c>
      <c r="X16" s="7" t="s">
        <v>79</v>
      </c>
      <c r="Y16" s="7">
        <v>0.01</v>
      </c>
      <c r="Z16" s="7" t="s">
        <v>80</v>
      </c>
      <c r="AA16" s="7">
        <v>1E-4</v>
      </c>
      <c r="AB16" s="7" t="s">
        <v>21</v>
      </c>
      <c r="AC16" s="7">
        <v>1E-4</v>
      </c>
      <c r="AD16" s="7" t="s">
        <v>81</v>
      </c>
      <c r="AE16" s="7">
        <v>1E-3</v>
      </c>
    </row>
    <row r="17" spans="1:15" s="7" customFormat="1" x14ac:dyDescent="0.45">
      <c r="A17" s="11" t="s">
        <v>11</v>
      </c>
      <c r="B17" s="11"/>
      <c r="C17" s="12"/>
      <c r="D17" s="11"/>
      <c r="E17" s="11"/>
      <c r="F17" s="11"/>
      <c r="G17" s="11"/>
      <c r="H17" s="11"/>
      <c r="I17" s="11"/>
      <c r="J17" s="11"/>
      <c r="K17" s="11"/>
      <c r="L17" s="11"/>
      <c r="M17" s="11"/>
      <c r="N17" s="11"/>
      <c r="O17" s="11"/>
    </row>
    <row r="18" spans="1:15" s="7" customFormat="1" x14ac:dyDescent="0.45">
      <c r="A18" s="11" t="s">
        <v>11</v>
      </c>
      <c r="B18" s="11"/>
      <c r="C18" s="12"/>
      <c r="D18" s="11"/>
      <c r="E18" s="11"/>
      <c r="F18" s="11"/>
      <c r="G18" s="11"/>
      <c r="H18" s="11"/>
      <c r="I18" s="11"/>
      <c r="J18" s="11"/>
      <c r="K18" s="11"/>
      <c r="L18" s="11"/>
      <c r="M18" s="11"/>
      <c r="N18" s="11"/>
      <c r="O18" s="11"/>
    </row>
    <row r="19" spans="1:15" s="7" customFormat="1" x14ac:dyDescent="0.45">
      <c r="A19" s="11" t="s">
        <v>11</v>
      </c>
      <c r="B19" s="11"/>
      <c r="C19" s="12"/>
      <c r="D19" s="11"/>
      <c r="E19" s="11"/>
      <c r="F19" s="11"/>
      <c r="G19" s="11"/>
      <c r="H19" s="11"/>
      <c r="I19" s="11"/>
      <c r="J19" s="11"/>
      <c r="K19" s="11"/>
      <c r="L19" s="11"/>
      <c r="M19" s="11"/>
      <c r="N19" s="11"/>
      <c r="O19" s="11"/>
    </row>
    <row r="20" spans="1:15" s="7" customFormat="1" x14ac:dyDescent="0.45">
      <c r="A20" s="11" t="s">
        <v>11</v>
      </c>
      <c r="B20" s="11"/>
      <c r="C20" s="12"/>
      <c r="D20" s="11"/>
      <c r="E20" s="11"/>
      <c r="F20" s="11"/>
      <c r="G20" s="11"/>
      <c r="H20" s="11"/>
      <c r="I20" s="11"/>
      <c r="J20" s="11"/>
      <c r="K20" s="11"/>
      <c r="L20" s="11"/>
      <c r="M20" s="11"/>
      <c r="N20" s="11"/>
      <c r="O20" s="11"/>
    </row>
    <row r="21" spans="1:15" s="7" customFormat="1" x14ac:dyDescent="0.45">
      <c r="A21" s="11" t="s">
        <v>11</v>
      </c>
      <c r="B21" s="11"/>
      <c r="C21" s="12"/>
      <c r="D21" s="11"/>
      <c r="E21" s="11"/>
      <c r="F21" s="11"/>
      <c r="G21" s="11"/>
      <c r="H21" s="11"/>
      <c r="I21" s="11"/>
      <c r="J21" s="11"/>
      <c r="K21" s="11"/>
      <c r="L21" s="11"/>
      <c r="M21" s="11"/>
      <c r="N21" s="11"/>
      <c r="O21" s="11"/>
    </row>
    <row r="22" spans="1:15" s="7" customFormat="1" x14ac:dyDescent="0.45">
      <c r="A22" s="11" t="s">
        <v>11</v>
      </c>
      <c r="B22" s="11"/>
      <c r="C22" s="12"/>
      <c r="D22" s="11"/>
      <c r="E22" s="11"/>
      <c r="F22" s="11"/>
      <c r="G22" s="11"/>
      <c r="H22" s="11"/>
      <c r="I22" s="11"/>
      <c r="J22" s="11"/>
      <c r="K22" s="11"/>
      <c r="L22" s="11"/>
      <c r="M22" s="11"/>
      <c r="N22" s="11"/>
      <c r="O22" s="11"/>
    </row>
    <row r="23" spans="1:15" s="7" customFormat="1" x14ac:dyDescent="0.45">
      <c r="A23" s="11" t="s">
        <v>11</v>
      </c>
      <c r="B23" s="11"/>
      <c r="C23" s="12"/>
      <c r="D23" s="11"/>
      <c r="E23" s="11"/>
      <c r="F23" s="11"/>
      <c r="G23" s="11"/>
      <c r="H23" s="11"/>
      <c r="I23" s="11"/>
      <c r="J23" s="11"/>
      <c r="K23" s="11"/>
      <c r="L23" s="11"/>
      <c r="M23" s="11"/>
      <c r="N23" s="11"/>
      <c r="O23" s="11"/>
    </row>
    <row r="24" spans="1:15" s="7" customFormat="1" x14ac:dyDescent="0.45">
      <c r="A24" s="13" t="s">
        <v>102</v>
      </c>
      <c r="B24" s="11"/>
      <c r="C24" s="12"/>
      <c r="D24" s="11"/>
      <c r="E24" s="11"/>
      <c r="F24" s="11"/>
      <c r="G24" s="11"/>
      <c r="H24" s="11"/>
      <c r="I24" s="11"/>
      <c r="J24" s="11"/>
      <c r="K24" s="11"/>
      <c r="L24" s="11"/>
      <c r="M24" s="11"/>
      <c r="N24" s="11"/>
      <c r="O24" s="11"/>
    </row>
    <row r="25" spans="1:15" s="7" customFormat="1" x14ac:dyDescent="0.45">
      <c r="A25" s="11" t="s">
        <v>22</v>
      </c>
      <c r="B25" s="11" t="s">
        <v>34</v>
      </c>
      <c r="C25" s="11" t="s">
        <v>83</v>
      </c>
      <c r="D25" s="11" t="s">
        <v>97</v>
      </c>
      <c r="E25" s="11" t="s">
        <v>82</v>
      </c>
      <c r="F25" s="11" t="s">
        <v>99</v>
      </c>
      <c r="G25" s="11" t="s">
        <v>101</v>
      </c>
      <c r="H25" s="11" t="s">
        <v>103</v>
      </c>
      <c r="I25" s="11" t="s">
        <v>104</v>
      </c>
      <c r="J25" s="11"/>
      <c r="K25" s="11"/>
      <c r="L25" s="11"/>
      <c r="M25" s="11"/>
      <c r="N25" s="11"/>
      <c r="O25" s="11"/>
    </row>
    <row r="26" spans="1:15" s="7" customFormat="1" x14ac:dyDescent="0.45">
      <c r="A26" s="11" t="s">
        <v>26</v>
      </c>
      <c r="B26" s="11" t="s">
        <v>100</v>
      </c>
      <c r="C26" s="11" t="s">
        <v>30</v>
      </c>
      <c r="D26" s="11" t="s">
        <v>62</v>
      </c>
      <c r="E26" s="11" t="s">
        <v>84</v>
      </c>
      <c r="F26" s="7" t="s">
        <v>98</v>
      </c>
      <c r="H26" s="11"/>
      <c r="I26" s="11"/>
      <c r="J26" s="11"/>
      <c r="K26" s="11"/>
      <c r="L26" s="11"/>
      <c r="M26" s="11"/>
      <c r="N26" s="11"/>
      <c r="O26" s="11"/>
    </row>
    <row r="27" spans="1:15" s="7" customFormat="1" x14ac:dyDescent="0.45">
      <c r="A27" s="11" t="s">
        <v>31</v>
      </c>
      <c r="B27" s="11" t="s">
        <v>6</v>
      </c>
      <c r="C27" s="12" t="s">
        <v>7</v>
      </c>
      <c r="D27" s="11" t="s">
        <v>8</v>
      </c>
      <c r="E27" s="11" t="s">
        <v>9</v>
      </c>
      <c r="F27" s="11" t="s">
        <v>10</v>
      </c>
      <c r="G27" s="11"/>
      <c r="H27" s="11"/>
      <c r="I27" s="11"/>
      <c r="J27" s="11"/>
      <c r="K27" s="11"/>
      <c r="L27" s="11"/>
      <c r="M27" s="11"/>
      <c r="N27" s="11"/>
      <c r="O27" s="11"/>
    </row>
    <row r="28" spans="1:15"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5" s="7" customFormat="1" x14ac:dyDescent="0.45">
      <c r="A29" s="11" t="s">
        <v>11</v>
      </c>
      <c r="B29" s="11"/>
      <c r="C29" s="12"/>
      <c r="D29" s="11"/>
      <c r="E29" s="11"/>
      <c r="F29" s="11"/>
      <c r="G29" s="11"/>
      <c r="H29" s="11"/>
      <c r="I29" s="11"/>
      <c r="J29" s="11"/>
      <c r="K29" s="11"/>
      <c r="L29" s="11"/>
      <c r="M29" s="11"/>
      <c r="N29" s="11"/>
      <c r="O29" s="11"/>
    </row>
    <row r="30" spans="1:15" s="7" customFormat="1" x14ac:dyDescent="0.45">
      <c r="A30" s="11" t="s">
        <v>33</v>
      </c>
      <c r="B30" s="11" t="s">
        <v>34</v>
      </c>
      <c r="C30" s="11" t="s">
        <v>90</v>
      </c>
      <c r="D30" s="11" t="s">
        <v>91</v>
      </c>
      <c r="F30" s="11"/>
      <c r="G30" s="11"/>
      <c r="H30" s="11"/>
      <c r="I30" s="11"/>
      <c r="J30" s="11"/>
      <c r="K30" s="11"/>
      <c r="L30" s="11"/>
      <c r="M30" s="11"/>
      <c r="N30" s="11"/>
      <c r="O30" s="11"/>
    </row>
    <row r="31" spans="1:15" s="7" customFormat="1" x14ac:dyDescent="0.45">
      <c r="A31" s="11" t="s">
        <v>33</v>
      </c>
      <c r="B31" s="11" t="s">
        <v>83</v>
      </c>
      <c r="C31" s="11" t="s">
        <v>90</v>
      </c>
      <c r="D31" s="11" t="s">
        <v>91</v>
      </c>
      <c r="E31" s="11"/>
      <c r="F31" s="11"/>
      <c r="G31" s="11"/>
      <c r="H31" s="11"/>
      <c r="I31" s="11"/>
      <c r="J31" s="11"/>
      <c r="K31" s="11"/>
      <c r="L31" s="11"/>
      <c r="M31" s="11"/>
      <c r="N31" s="11"/>
      <c r="O31" s="11"/>
    </row>
    <row r="32" spans="1:15" s="7" customFormat="1" x14ac:dyDescent="0.45">
      <c r="A32" s="11" t="s">
        <v>33</v>
      </c>
      <c r="B32" s="11" t="s">
        <v>97</v>
      </c>
      <c r="C32" s="11" t="s">
        <v>90</v>
      </c>
      <c r="D32" s="11" t="s">
        <v>91</v>
      </c>
      <c r="F32" s="11"/>
      <c r="G32" s="11"/>
      <c r="H32" s="11"/>
      <c r="I32" s="11"/>
      <c r="J32" s="11"/>
      <c r="K32" s="11"/>
      <c r="L32" s="11"/>
      <c r="M32" s="11"/>
      <c r="N32" s="11"/>
      <c r="O32" s="11"/>
    </row>
    <row r="33" spans="1:15" s="7" customFormat="1" x14ac:dyDescent="0.45">
      <c r="A33" s="11" t="s">
        <v>33</v>
      </c>
      <c r="B33" s="11" t="s">
        <v>82</v>
      </c>
      <c r="C33" s="12" t="s">
        <v>96</v>
      </c>
      <c r="D33" s="11" t="s">
        <v>93</v>
      </c>
      <c r="E33" s="11"/>
      <c r="F33" s="11"/>
      <c r="G33" s="11"/>
      <c r="H33" s="11"/>
      <c r="I33" s="11"/>
      <c r="J33" s="11"/>
      <c r="K33" s="11"/>
      <c r="L33" s="11"/>
      <c r="M33" s="11"/>
      <c r="N33" s="11"/>
      <c r="O33" s="11"/>
    </row>
    <row r="34" spans="1:15" s="7" customFormat="1" x14ac:dyDescent="0.45">
      <c r="A34" s="11" t="s">
        <v>33</v>
      </c>
      <c r="B34" s="11" t="s">
        <v>99</v>
      </c>
      <c r="C34" s="11" t="s">
        <v>94</v>
      </c>
      <c r="E34" s="11"/>
      <c r="F34" s="11"/>
      <c r="G34" s="11"/>
      <c r="H34" s="11"/>
      <c r="I34" s="11"/>
      <c r="J34" s="11"/>
      <c r="K34" s="11"/>
      <c r="L34" s="11"/>
      <c r="M34" s="11"/>
      <c r="N34" s="11"/>
      <c r="O34" s="11"/>
    </row>
    <row r="35" spans="1:15" s="7" customFormat="1" x14ac:dyDescent="0.45">
      <c r="A35" s="11" t="s">
        <v>33</v>
      </c>
      <c r="B35" s="11" t="s">
        <v>101</v>
      </c>
      <c r="C35" s="11" t="s">
        <v>94</v>
      </c>
      <c r="E35" s="11"/>
      <c r="F35" s="11"/>
      <c r="G35" s="11"/>
      <c r="H35" s="11"/>
      <c r="I35" s="11"/>
      <c r="J35" s="11"/>
      <c r="K35" s="11"/>
      <c r="L35" s="11"/>
      <c r="M35" s="11"/>
      <c r="N35" s="11"/>
      <c r="O35" s="11"/>
    </row>
    <row r="36" spans="1:15" s="7" customFormat="1" x14ac:dyDescent="0.45">
      <c r="A36" s="11" t="s">
        <v>33</v>
      </c>
      <c r="B36" s="11" t="s">
        <v>30</v>
      </c>
      <c r="C36" s="12" t="s">
        <v>95</v>
      </c>
      <c r="D36" s="11"/>
      <c r="E36" s="11"/>
      <c r="F36" s="11"/>
      <c r="G36" s="11"/>
      <c r="H36" s="11"/>
      <c r="I36" s="11"/>
      <c r="J36" s="11"/>
      <c r="K36" s="11"/>
      <c r="L36" s="11"/>
      <c r="M36" s="11"/>
      <c r="N36" s="11"/>
      <c r="O36" s="11"/>
    </row>
    <row r="37" spans="1:15" s="7" customFormat="1" x14ac:dyDescent="0.45">
      <c r="A37" s="7" t="s">
        <v>33</v>
      </c>
      <c r="B37" s="11" t="s">
        <v>103</v>
      </c>
      <c r="C37" s="11" t="s">
        <v>92</v>
      </c>
      <c r="D37" s="7" t="s">
        <v>105</v>
      </c>
      <c r="E37" s="11"/>
      <c r="F37" s="11"/>
      <c r="G37" s="11"/>
      <c r="H37" s="11"/>
      <c r="I37" s="11"/>
      <c r="J37" s="11"/>
      <c r="K37" s="11"/>
      <c r="L37" s="11"/>
      <c r="M37" s="11"/>
      <c r="N37" s="11"/>
      <c r="O37" s="11"/>
    </row>
    <row r="38" spans="1:15" s="7" customFormat="1" x14ac:dyDescent="0.45">
      <c r="A38" s="11" t="s">
        <v>33</v>
      </c>
      <c r="B38" s="11" t="s">
        <v>104</v>
      </c>
      <c r="C38" s="11" t="s">
        <v>93</v>
      </c>
      <c r="F38" s="11"/>
      <c r="G38" s="11"/>
      <c r="H38" s="11"/>
      <c r="I38" s="11"/>
      <c r="J38" s="11"/>
      <c r="K38" s="11"/>
      <c r="L38" s="11"/>
      <c r="M38" s="11"/>
      <c r="N38" s="11"/>
      <c r="O38" s="11"/>
    </row>
    <row r="39" spans="1:15" s="7" customFormat="1" x14ac:dyDescent="0.45">
      <c r="A39" s="11" t="s">
        <v>33</v>
      </c>
      <c r="B39" s="11" t="s">
        <v>100</v>
      </c>
      <c r="C39" s="12"/>
      <c r="D39" s="11"/>
      <c r="E39" s="11"/>
      <c r="F39" s="11"/>
      <c r="G39" s="11"/>
      <c r="H39" s="11"/>
      <c r="I39" s="11"/>
      <c r="J39" s="11"/>
      <c r="K39" s="11"/>
      <c r="L39" s="11"/>
      <c r="M39" s="11"/>
      <c r="N39" s="11"/>
      <c r="O39" s="11"/>
    </row>
    <row r="40" spans="1:15" s="7" customFormat="1" x14ac:dyDescent="0.45">
      <c r="A40" s="11" t="s">
        <v>33</v>
      </c>
      <c r="B40" s="11" t="s">
        <v>62</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-1</v>
      </c>
      <c r="J41" s="11" t="s">
        <v>10</v>
      </c>
      <c r="K41" s="12">
        <v>-1</v>
      </c>
      <c r="L41" s="11"/>
      <c r="M41" s="11"/>
      <c r="N41" s="11"/>
      <c r="O41" s="11"/>
    </row>
    <row r="42" spans="1:15" s="7" customFormat="1" x14ac:dyDescent="0.45">
      <c r="A42" s="11" t="s">
        <v>70</v>
      </c>
      <c r="B42" s="11" t="s">
        <v>6</v>
      </c>
      <c r="C42" s="12">
        <v>0</v>
      </c>
      <c r="D42" s="11" t="s">
        <v>7</v>
      </c>
      <c r="E42" s="11">
        <v>0</v>
      </c>
      <c r="F42" s="11" t="s">
        <v>8</v>
      </c>
      <c r="G42" s="11">
        <v>0.3</v>
      </c>
      <c r="H42" s="11" t="s">
        <v>9</v>
      </c>
      <c r="I42" s="11">
        <v>0</v>
      </c>
      <c r="J42" s="11" t="s">
        <v>10</v>
      </c>
      <c r="K42" s="11">
        <v>0</v>
      </c>
      <c r="L42" s="11"/>
      <c r="M42" s="11"/>
      <c r="N42" s="11"/>
      <c r="O42" s="11"/>
    </row>
    <row r="43" spans="1:15" s="7" customFormat="1" x14ac:dyDescent="0.45">
      <c r="A43" s="11" t="s">
        <v>11</v>
      </c>
      <c r="B43" s="11"/>
      <c r="C43" s="12"/>
      <c r="D43" s="11"/>
      <c r="E43" s="11"/>
      <c r="F43" s="11"/>
      <c r="G43" s="11"/>
      <c r="H43" s="11"/>
      <c r="I43" s="11"/>
      <c r="J43" s="11"/>
      <c r="K43" s="11"/>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57</v>
      </c>
      <c r="B45" s="11" t="s">
        <v>59</v>
      </c>
      <c r="C45" s="12" t="s">
        <v>6</v>
      </c>
      <c r="D45" s="11" t="s">
        <v>60</v>
      </c>
      <c r="E45" s="11" t="s">
        <v>7</v>
      </c>
      <c r="F45" s="11" t="s">
        <v>61</v>
      </c>
      <c r="G45" s="11" t="s">
        <v>8</v>
      </c>
      <c r="H45" s="11"/>
      <c r="I45" s="11"/>
      <c r="J45" s="11"/>
      <c r="K45" s="11"/>
      <c r="L45" s="11"/>
      <c r="M45" s="11"/>
      <c r="N45" s="11"/>
      <c r="O45" s="11"/>
    </row>
    <row r="46" spans="1:15" s="7" customFormat="1" x14ac:dyDescent="0.45">
      <c r="A46" s="11" t="s">
        <v>58</v>
      </c>
      <c r="B46" s="11" t="s">
        <v>59</v>
      </c>
      <c r="C46" s="12" t="s">
        <v>100</v>
      </c>
      <c r="D46" s="11" t="s">
        <v>60</v>
      </c>
      <c r="E46" s="11" t="s">
        <v>34</v>
      </c>
      <c r="F46" s="11" t="s">
        <v>61</v>
      </c>
      <c r="G46" s="11" t="s">
        <v>83</v>
      </c>
      <c r="H46" s="11"/>
      <c r="I46" s="11"/>
      <c r="J46" s="11"/>
      <c r="K46" s="11"/>
      <c r="L46" s="11"/>
      <c r="M46" s="11"/>
      <c r="N46" s="11"/>
      <c r="O46" s="11"/>
    </row>
    <row r="47" spans="1:15" s="7" customFormat="1" x14ac:dyDescent="0.45">
      <c r="A47" s="13" t="s">
        <v>56</v>
      </c>
      <c r="B47" s="11"/>
      <c r="C47" s="12"/>
      <c r="D47" s="11"/>
      <c r="E47" s="11"/>
      <c r="F47" s="11"/>
      <c r="G47" s="11"/>
      <c r="H47" s="11"/>
      <c r="I47" s="11"/>
      <c r="J47" s="11"/>
      <c r="K47" s="11"/>
      <c r="L47" s="11"/>
      <c r="M47" s="11"/>
      <c r="N47" s="11"/>
      <c r="O47" s="11"/>
    </row>
    <row r="48" spans="1:15" s="7" customFormat="1" x14ac:dyDescent="0.45">
      <c r="A48" s="11" t="s">
        <v>36</v>
      </c>
      <c r="B48" s="11" t="s">
        <v>37</v>
      </c>
      <c r="C48" s="12" t="s">
        <v>38</v>
      </c>
      <c r="D48" s="11" t="s">
        <v>39</v>
      </c>
      <c r="E48" s="11" t="s">
        <v>40</v>
      </c>
      <c r="F48" s="11" t="s">
        <v>39</v>
      </c>
      <c r="G48" s="11" t="s">
        <v>41</v>
      </c>
      <c r="H48" s="11" t="s">
        <v>39</v>
      </c>
      <c r="I48" s="11" t="s">
        <v>50</v>
      </c>
      <c r="J48" s="11" t="s">
        <v>39</v>
      </c>
      <c r="K48" s="11"/>
      <c r="L48" s="11"/>
      <c r="M48" s="11"/>
      <c r="N48" s="11"/>
      <c r="O48" s="11"/>
    </row>
    <row r="49" spans="1:15" s="7" customFormat="1" x14ac:dyDescent="0.45">
      <c r="A49" s="11" t="s">
        <v>42</v>
      </c>
      <c r="B49" s="11" t="s">
        <v>52</v>
      </c>
      <c r="C49" s="12" t="s">
        <v>43</v>
      </c>
      <c r="D49" s="11">
        <v>100000</v>
      </c>
      <c r="E49" s="11" t="s">
        <v>44</v>
      </c>
      <c r="F49" s="11">
        <v>0</v>
      </c>
      <c r="G49" s="11" t="s">
        <v>45</v>
      </c>
      <c r="H49" s="11">
        <v>60</v>
      </c>
      <c r="I49" s="11" t="s">
        <v>51</v>
      </c>
      <c r="J49" s="11">
        <v>0</v>
      </c>
      <c r="K49" s="11"/>
      <c r="L49" s="11"/>
      <c r="M49" s="11"/>
      <c r="N49" s="11"/>
      <c r="O49" s="11"/>
    </row>
    <row r="50" spans="1:15" s="7" customFormat="1" x14ac:dyDescent="0.45">
      <c r="A50" s="11" t="s">
        <v>42</v>
      </c>
      <c r="B50" s="11" t="s">
        <v>53</v>
      </c>
      <c r="C50" s="12" t="s">
        <v>6</v>
      </c>
      <c r="D50" s="11">
        <v>1</v>
      </c>
      <c r="E50" s="11"/>
      <c r="F50" s="11"/>
      <c r="G50" s="11"/>
      <c r="H50" s="11"/>
      <c r="I50" s="11"/>
      <c r="J50" s="11"/>
      <c r="K50" s="11"/>
      <c r="L50" s="11"/>
      <c r="M50" s="11"/>
      <c r="N50" s="11"/>
      <c r="O50" s="11"/>
    </row>
    <row r="51" spans="1:15" s="7" customFormat="1" x14ac:dyDescent="0.45">
      <c r="A51" s="11" t="s">
        <v>42</v>
      </c>
      <c r="B51" s="11" t="s">
        <v>54</v>
      </c>
      <c r="C51" s="12" t="s">
        <v>100</v>
      </c>
      <c r="D51" s="11">
        <v>0</v>
      </c>
      <c r="E51" s="11" t="s">
        <v>84</v>
      </c>
      <c r="F51" s="11">
        <v>1E-4</v>
      </c>
      <c r="G51" s="11"/>
      <c r="H51" s="11"/>
      <c r="I51" s="11"/>
      <c r="J51" s="11"/>
      <c r="K51" s="11"/>
      <c r="L51" s="11"/>
      <c r="M51" s="11"/>
      <c r="N51" s="11"/>
      <c r="O51" s="11"/>
    </row>
    <row r="52" spans="1:15" s="7" customFormat="1" x14ac:dyDescent="0.45">
      <c r="A52" s="11" t="s">
        <v>42</v>
      </c>
      <c r="B52" s="11" t="s">
        <v>55</v>
      </c>
      <c r="C52" s="11" t="s">
        <v>34</v>
      </c>
      <c r="D52" s="11">
        <v>0</v>
      </c>
      <c r="E52" s="11" t="s">
        <v>83</v>
      </c>
      <c r="F52" s="11">
        <v>0</v>
      </c>
      <c r="G52" s="11" t="s">
        <v>82</v>
      </c>
      <c r="H52" s="11">
        <v>0.05</v>
      </c>
      <c r="I52" s="11" t="s">
        <v>103</v>
      </c>
      <c r="J52" s="11">
        <v>1</v>
      </c>
      <c r="K52" s="11" t="s">
        <v>104</v>
      </c>
      <c r="L52" s="11">
        <v>1</v>
      </c>
      <c r="M52" s="11"/>
      <c r="N52" s="11"/>
      <c r="O52" s="11"/>
    </row>
    <row r="53" spans="1:15" s="7" customFormat="1" x14ac:dyDescent="0.45">
      <c r="A53" s="11" t="s">
        <v>46</v>
      </c>
      <c r="B53" s="11" t="s">
        <v>52</v>
      </c>
      <c r="C53" s="12" t="s">
        <v>43</v>
      </c>
      <c r="D53" s="11">
        <v>1300000</v>
      </c>
      <c r="E53" s="11" t="s">
        <v>44</v>
      </c>
      <c r="F53" s="11">
        <v>0</v>
      </c>
      <c r="G53" s="11" t="s">
        <v>45</v>
      </c>
      <c r="H53" s="11">
        <v>70</v>
      </c>
      <c r="I53" s="11" t="s">
        <v>51</v>
      </c>
      <c r="J53" s="11">
        <v>0</v>
      </c>
      <c r="K53" s="11"/>
      <c r="L53" s="11"/>
      <c r="M53" s="11"/>
      <c r="N53" s="11"/>
      <c r="O53" s="11"/>
    </row>
    <row r="54" spans="1:15" s="7" customFormat="1" x14ac:dyDescent="0.45">
      <c r="A54" s="11" t="s">
        <v>46</v>
      </c>
      <c r="B54" s="11" t="s">
        <v>53</v>
      </c>
      <c r="C54" s="12" t="s">
        <v>7</v>
      </c>
      <c r="D54" s="11">
        <v>1</v>
      </c>
      <c r="E54" s="11"/>
      <c r="F54" s="11"/>
      <c r="G54" s="11"/>
      <c r="H54" s="11"/>
      <c r="I54" s="11"/>
      <c r="J54" s="11"/>
      <c r="K54" s="11"/>
      <c r="L54" s="11"/>
      <c r="M54" s="11"/>
      <c r="N54" s="11"/>
      <c r="O54" s="11"/>
    </row>
    <row r="55" spans="1:15" s="7" customFormat="1" x14ac:dyDescent="0.45">
      <c r="A55" s="11" t="s">
        <v>46</v>
      </c>
      <c r="B55" s="11" t="s">
        <v>54</v>
      </c>
      <c r="C55" s="12" t="s">
        <v>100</v>
      </c>
      <c r="D55" s="11">
        <v>0</v>
      </c>
      <c r="E55" s="11" t="s">
        <v>84</v>
      </c>
      <c r="F55" s="11">
        <v>1E-4</v>
      </c>
      <c r="G55" s="11"/>
      <c r="H55" s="11"/>
      <c r="I55" s="11"/>
      <c r="J55" s="11"/>
      <c r="K55" s="11"/>
      <c r="L55" s="11"/>
      <c r="M55" s="11"/>
      <c r="N55" s="11"/>
      <c r="O55" s="11"/>
    </row>
    <row r="56" spans="1:15" s="7" customFormat="1" x14ac:dyDescent="0.45">
      <c r="A56" s="11" t="s">
        <v>46</v>
      </c>
      <c r="B56" s="11" t="s">
        <v>55</v>
      </c>
      <c r="C56" s="12" t="s">
        <v>99</v>
      </c>
      <c r="D56" s="11">
        <v>0</v>
      </c>
      <c r="E56" s="11"/>
      <c r="F56" s="11"/>
      <c r="G56" s="11"/>
      <c r="H56" s="11"/>
      <c r="I56" s="11"/>
      <c r="J56" s="11"/>
      <c r="K56" s="11"/>
      <c r="L56" s="11"/>
      <c r="M56" s="11"/>
      <c r="N56" s="11"/>
      <c r="O56" s="11"/>
    </row>
    <row r="57" spans="1:15" s="7" customFormat="1" x14ac:dyDescent="0.45">
      <c r="A57" s="11" t="s">
        <v>47</v>
      </c>
      <c r="B57" s="11" t="s">
        <v>52</v>
      </c>
      <c r="C57" s="12" t="s">
        <v>43</v>
      </c>
      <c r="D57" s="11">
        <v>1500000</v>
      </c>
      <c r="E57" s="11" t="s">
        <v>44</v>
      </c>
      <c r="F57" s="11">
        <v>0</v>
      </c>
      <c r="G57" s="11" t="s">
        <v>45</v>
      </c>
      <c r="H57" s="11">
        <v>100</v>
      </c>
      <c r="I57" s="11" t="s">
        <v>51</v>
      </c>
      <c r="J57" s="11">
        <v>0</v>
      </c>
      <c r="K57" s="11"/>
      <c r="L57" s="11"/>
      <c r="M57" s="11"/>
      <c r="N57" s="11"/>
      <c r="O57" s="11"/>
    </row>
    <row r="58" spans="1:15" s="7" customFormat="1" x14ac:dyDescent="0.45">
      <c r="A58" s="11" t="s">
        <v>47</v>
      </c>
      <c r="B58" s="11" t="s">
        <v>53</v>
      </c>
      <c r="C58" s="12" t="s">
        <v>8</v>
      </c>
      <c r="D58" s="11">
        <v>1</v>
      </c>
      <c r="E58" s="11"/>
      <c r="F58" s="11"/>
      <c r="G58" s="11"/>
      <c r="H58" s="11"/>
      <c r="I58" s="11"/>
      <c r="J58" s="11"/>
      <c r="K58" s="11"/>
      <c r="L58" s="11"/>
      <c r="M58" s="11"/>
      <c r="N58" s="11"/>
      <c r="O58" s="11"/>
    </row>
    <row r="59" spans="1:15" s="7" customFormat="1" x14ac:dyDescent="0.45">
      <c r="A59" s="11" t="s">
        <v>47</v>
      </c>
      <c r="B59" s="11" t="s">
        <v>54</v>
      </c>
      <c r="C59" s="12" t="s">
        <v>100</v>
      </c>
      <c r="D59" s="11">
        <v>0</v>
      </c>
      <c r="E59" s="11" t="s">
        <v>84</v>
      </c>
      <c r="F59" s="11">
        <v>1E-4</v>
      </c>
      <c r="G59" s="11"/>
      <c r="H59" s="11"/>
      <c r="I59" s="11"/>
      <c r="J59" s="11"/>
      <c r="K59" s="11"/>
      <c r="L59" s="11"/>
      <c r="M59" s="11"/>
      <c r="N59" s="11"/>
      <c r="O59" s="11"/>
    </row>
    <row r="60" spans="1:15" s="7" customFormat="1" x14ac:dyDescent="0.45">
      <c r="A60" s="11" t="s">
        <v>47</v>
      </c>
      <c r="B60" s="11" t="s">
        <v>55</v>
      </c>
      <c r="C60" s="12" t="s">
        <v>99</v>
      </c>
      <c r="D60" s="11">
        <v>0</v>
      </c>
      <c r="E60" s="11"/>
      <c r="F60" s="11"/>
      <c r="G60" s="11"/>
      <c r="H60" s="11"/>
      <c r="I60" s="11"/>
      <c r="J60" s="11"/>
      <c r="K60" s="11"/>
      <c r="L60" s="11"/>
      <c r="M60" s="11"/>
      <c r="N60" s="11"/>
      <c r="O60" s="11"/>
    </row>
    <row r="61" spans="1:15" s="7" customFormat="1" x14ac:dyDescent="0.45">
      <c r="A61" s="11" t="s">
        <v>48</v>
      </c>
      <c r="B61" s="11" t="s">
        <v>52</v>
      </c>
      <c r="C61" s="12" t="s">
        <v>43</v>
      </c>
      <c r="D61" s="11">
        <v>2500000</v>
      </c>
      <c r="E61" s="11" t="s">
        <v>44</v>
      </c>
      <c r="F61" s="11">
        <v>0</v>
      </c>
      <c r="G61" s="11" t="s">
        <v>45</v>
      </c>
      <c r="H61" s="11">
        <v>250</v>
      </c>
      <c r="I61" s="11" t="s">
        <v>51</v>
      </c>
      <c r="J61" s="11">
        <v>0</v>
      </c>
      <c r="K61" s="11"/>
      <c r="L61" s="11"/>
      <c r="M61" s="11"/>
      <c r="N61" s="11"/>
      <c r="O61" s="11"/>
    </row>
    <row r="62" spans="1:15" s="7" customFormat="1" x14ac:dyDescent="0.45">
      <c r="A62" s="11" t="s">
        <v>48</v>
      </c>
      <c r="B62" s="11" t="s">
        <v>53</v>
      </c>
      <c r="C62" s="12" t="s">
        <v>9</v>
      </c>
      <c r="D62" s="11">
        <v>1</v>
      </c>
      <c r="E62" s="11"/>
      <c r="F62" s="11"/>
      <c r="G62" s="11"/>
      <c r="H62" s="11"/>
      <c r="I62" s="11"/>
      <c r="J62" s="11"/>
      <c r="K62" s="11"/>
      <c r="L62" s="11"/>
      <c r="M62" s="11"/>
      <c r="N62" s="11"/>
      <c r="O62" s="11"/>
    </row>
    <row r="63" spans="1:15" s="7" customFormat="1" x14ac:dyDescent="0.45">
      <c r="A63" s="11" t="s">
        <v>48</v>
      </c>
      <c r="B63" s="11" t="s">
        <v>54</v>
      </c>
      <c r="C63" s="12" t="s">
        <v>100</v>
      </c>
      <c r="D63" s="11">
        <v>0</v>
      </c>
      <c r="E63" s="11" t="s">
        <v>84</v>
      </c>
      <c r="F63" s="11">
        <v>1.5800000000000002E-2</v>
      </c>
      <c r="G63" s="11"/>
      <c r="H63" s="11"/>
      <c r="I63" s="11"/>
      <c r="J63" s="11"/>
      <c r="K63" s="11"/>
      <c r="L63" s="11"/>
      <c r="M63" s="11"/>
      <c r="N63" s="11"/>
      <c r="O63" s="11"/>
    </row>
    <row r="64" spans="1:15" s="7" customFormat="1" x14ac:dyDescent="0.45">
      <c r="A64" s="11" t="s">
        <v>48</v>
      </c>
      <c r="B64" s="11" t="s">
        <v>55</v>
      </c>
      <c r="C64" s="12" t="s">
        <v>82</v>
      </c>
      <c r="D64" s="11">
        <v>1</v>
      </c>
      <c r="E64" s="11"/>
      <c r="F64" s="11"/>
      <c r="G64" s="11"/>
      <c r="H64" s="11"/>
      <c r="I64" s="11"/>
      <c r="J64" s="11"/>
      <c r="K64" s="11"/>
      <c r="L64" s="11"/>
      <c r="M64" s="11"/>
      <c r="N64" s="11"/>
      <c r="O64" s="11"/>
    </row>
    <row r="65" spans="1:15" s="7" customFormat="1" x14ac:dyDescent="0.45">
      <c r="A65" s="11" t="s">
        <v>49</v>
      </c>
      <c r="B65" s="11" t="s">
        <v>52</v>
      </c>
      <c r="C65" s="12" t="s">
        <v>43</v>
      </c>
      <c r="D65" s="11">
        <v>1300000</v>
      </c>
      <c r="E65" s="11" t="s">
        <v>44</v>
      </c>
      <c r="F65" s="11">
        <v>0</v>
      </c>
      <c r="G65" s="11" t="s">
        <v>45</v>
      </c>
      <c r="H65" s="11">
        <v>60</v>
      </c>
      <c r="I65" s="11" t="s">
        <v>51</v>
      </c>
      <c r="J65" s="11">
        <v>0</v>
      </c>
      <c r="K65" s="11"/>
      <c r="L65" s="11"/>
      <c r="M65" s="11"/>
      <c r="N65" s="11"/>
      <c r="O65" s="11"/>
    </row>
    <row r="66" spans="1:15" s="7" customFormat="1" x14ac:dyDescent="0.45">
      <c r="A66" s="11" t="s">
        <v>49</v>
      </c>
      <c r="B66" s="11" t="s">
        <v>53</v>
      </c>
      <c r="C66" s="12" t="s">
        <v>10</v>
      </c>
      <c r="D66" s="11">
        <v>1</v>
      </c>
      <c r="E66" s="11"/>
      <c r="F66" s="11"/>
      <c r="G66" s="11"/>
      <c r="H66" s="11"/>
      <c r="I66" s="11"/>
      <c r="J66" s="11"/>
      <c r="K66" s="11"/>
      <c r="L66" s="11"/>
      <c r="M66" s="11"/>
      <c r="N66" s="11"/>
      <c r="O66" s="11"/>
    </row>
    <row r="67" spans="1:15" s="7" customFormat="1" x14ac:dyDescent="0.45">
      <c r="A67" s="11" t="s">
        <v>49</v>
      </c>
      <c r="B67" s="11" t="s">
        <v>54</v>
      </c>
      <c r="C67" s="12" t="s">
        <v>100</v>
      </c>
      <c r="D67" s="11">
        <v>0</v>
      </c>
      <c r="E67" s="11" t="s">
        <v>84</v>
      </c>
      <c r="F67" s="11">
        <v>1E-4</v>
      </c>
      <c r="G67" s="11"/>
      <c r="H67" s="11"/>
      <c r="I67" s="11"/>
      <c r="J67" s="11"/>
      <c r="K67" s="11"/>
      <c r="L67" s="11"/>
      <c r="M67" s="11"/>
      <c r="N67" s="11"/>
      <c r="O67" s="11"/>
    </row>
    <row r="68" spans="1:15" s="7" customFormat="1" x14ac:dyDescent="0.45">
      <c r="A68" s="11" t="s">
        <v>49</v>
      </c>
      <c r="B68" s="11" t="s">
        <v>55</v>
      </c>
      <c r="C68" s="12" t="s">
        <v>99</v>
      </c>
      <c r="D68" s="11">
        <v>1</v>
      </c>
      <c r="E68" s="11"/>
      <c r="F68" s="11"/>
      <c r="G68" s="11"/>
      <c r="H68" s="11"/>
      <c r="I68" s="11"/>
      <c r="J68" s="11"/>
      <c r="K68" s="11"/>
      <c r="L68" s="11"/>
      <c r="M68" s="11"/>
      <c r="N68" s="11"/>
      <c r="O68" s="11"/>
    </row>
    <row r="69" spans="1:15" s="7" customFormat="1" x14ac:dyDescent="0.45">
      <c r="A69" s="11" t="s">
        <v>63</v>
      </c>
      <c r="B69" s="11" t="s">
        <v>52</v>
      </c>
      <c r="C69" s="12" t="s">
        <v>43</v>
      </c>
      <c r="D69" s="11">
        <f>4*PI()*H69^2</f>
        <v>45238.93421169302</v>
      </c>
      <c r="E69" s="11" t="s">
        <v>44</v>
      </c>
      <c r="F69" s="11">
        <v>0</v>
      </c>
      <c r="G69" s="11" t="s">
        <v>45</v>
      </c>
      <c r="H69" s="11">
        <v>60</v>
      </c>
      <c r="I69" s="11" t="s">
        <v>51</v>
      </c>
      <c r="J69" s="11">
        <v>0</v>
      </c>
      <c r="K69" s="11"/>
      <c r="L69" s="11"/>
      <c r="M69" s="11"/>
      <c r="N69" s="11"/>
      <c r="O69" s="11"/>
    </row>
    <row r="70" spans="1:15" s="7" customFormat="1" x14ac:dyDescent="0.45">
      <c r="A70" s="11" t="s">
        <v>63</v>
      </c>
      <c r="B70" s="11" t="s">
        <v>53</v>
      </c>
      <c r="C70" s="12" t="s">
        <v>6</v>
      </c>
      <c r="D70" s="11">
        <v>1</v>
      </c>
      <c r="E70" s="11"/>
      <c r="F70" s="11"/>
      <c r="G70" s="11"/>
      <c r="H70" s="11"/>
      <c r="I70" s="11"/>
      <c r="J70" s="11"/>
      <c r="K70" s="11"/>
      <c r="L70" s="11"/>
      <c r="M70" s="11"/>
      <c r="N70" s="11"/>
      <c r="O70" s="11"/>
    </row>
    <row r="71" spans="1:15" s="7" customFormat="1" x14ac:dyDescent="0.45">
      <c r="A71" s="11" t="s">
        <v>63</v>
      </c>
      <c r="B71" s="11" t="s">
        <v>54</v>
      </c>
      <c r="C71" s="12" t="s">
        <v>100</v>
      </c>
      <c r="D71" s="11">
        <v>0</v>
      </c>
      <c r="E71" s="11" t="s">
        <v>62</v>
      </c>
      <c r="F71" s="11">
        <v>0</v>
      </c>
      <c r="G71" s="11" t="s">
        <v>84</v>
      </c>
      <c r="H71" s="11">
        <v>1E-4</v>
      </c>
      <c r="I71" s="11"/>
      <c r="J71" s="11"/>
      <c r="K71" s="11"/>
      <c r="L71" s="11"/>
      <c r="M71" s="11"/>
      <c r="N71" s="11"/>
      <c r="O71" s="11"/>
    </row>
    <row r="72" spans="1:15" s="7" customFormat="1" x14ac:dyDescent="0.45">
      <c r="A72" s="11" t="s">
        <v>63</v>
      </c>
      <c r="B72" s="11" t="s">
        <v>55</v>
      </c>
      <c r="C72" s="11" t="s">
        <v>34</v>
      </c>
      <c r="D72" s="11">
        <v>0</v>
      </c>
      <c r="E72" s="11" t="s">
        <v>83</v>
      </c>
      <c r="F72" s="11">
        <v>0</v>
      </c>
      <c r="G72" s="11" t="s">
        <v>82</v>
      </c>
      <c r="H72" s="11">
        <v>0.05</v>
      </c>
      <c r="I72" s="11" t="s">
        <v>97</v>
      </c>
      <c r="J72" s="11">
        <v>0</v>
      </c>
      <c r="K72" s="11" t="s">
        <v>103</v>
      </c>
      <c r="L72" s="11">
        <v>1</v>
      </c>
      <c r="M72" s="11" t="s">
        <v>104</v>
      </c>
      <c r="N72" s="11">
        <v>1</v>
      </c>
      <c r="O72" s="11"/>
    </row>
    <row r="73" spans="1:15" x14ac:dyDescent="0.45">
      <c r="A73" s="1" t="s">
        <v>11</v>
      </c>
    </row>
    <row r="74" spans="1:15" x14ac:dyDescent="0.45">
      <c r="A74" s="1" t="s">
        <v>11</v>
      </c>
    </row>
    <row r="75" spans="1:15" x14ac:dyDescent="0.45">
      <c r="A75" s="1" t="s">
        <v>11</v>
      </c>
    </row>
    <row r="76" spans="1:15" x14ac:dyDescent="0.45">
      <c r="A76" s="1" t="s">
        <v>11</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90"/>
  <sheetViews>
    <sheetView topLeftCell="AG1" zoomScale="90" zoomScaleNormal="90" workbookViewId="0">
      <selection sqref="A1:AU1048576"/>
    </sheetView>
  </sheetViews>
  <sheetFormatPr baseColWidth="10" defaultRowHeight="14.25" x14ac:dyDescent="0.45"/>
  <cols>
    <col min="1" max="1" width="23.19921875" bestFit="1" customWidth="1"/>
    <col min="2" max="2" width="18.73046875" bestFit="1" customWidth="1"/>
    <col min="3" max="3" width="15" bestFit="1" customWidth="1"/>
    <col min="4" max="4" width="21.1328125" bestFit="1" customWidth="1"/>
    <col min="5" max="5" width="14.265625" bestFit="1" customWidth="1"/>
    <col min="6" max="6" width="15.1328125" bestFit="1" customWidth="1"/>
    <col min="7" max="7" width="12.06640625" bestFit="1" customWidth="1"/>
    <col min="8" max="8" width="9.1328125" bestFit="1" customWidth="1"/>
    <col min="9" max="9" width="15" bestFit="1" customWidth="1"/>
    <col min="10" max="10" width="8.86328125" bestFit="1" customWidth="1"/>
    <col min="11" max="11" width="8.1328125" bestFit="1" customWidth="1"/>
    <col min="12" max="12" width="4.73046875" bestFit="1" customWidth="1"/>
    <col min="13" max="13" width="15" bestFit="1" customWidth="1"/>
    <col min="14" max="14" width="1.73046875" bestFit="1" customWidth="1"/>
    <col min="15" max="15" width="7.6640625" bestFit="1" customWidth="1"/>
    <col min="16" max="16" width="6.73046875" bestFit="1" customWidth="1"/>
    <col min="17" max="17" width="6.3984375" bestFit="1" customWidth="1"/>
    <col min="18" max="18" width="4.73046875" bestFit="1" customWidth="1"/>
  </cols>
  <sheetData>
    <row r="1" spans="1:13" x14ac:dyDescent="0.45">
      <c r="A1" t="s">
        <v>106</v>
      </c>
    </row>
    <row r="2" spans="1:13" x14ac:dyDescent="0.45">
      <c r="A2" t="s">
        <v>1</v>
      </c>
      <c r="B2" t="s">
        <v>2</v>
      </c>
      <c r="C2">
        <v>35</v>
      </c>
      <c r="D2" t="s">
        <v>69</v>
      </c>
      <c r="E2">
        <v>0.5</v>
      </c>
      <c r="F2" t="s">
        <v>75</v>
      </c>
      <c r="G2">
        <v>0.5</v>
      </c>
      <c r="H2" t="s">
        <v>107</v>
      </c>
      <c r="I2">
        <v>1</v>
      </c>
    </row>
    <row r="3" spans="1:13" x14ac:dyDescent="0.45">
      <c r="A3" t="s">
        <v>1</v>
      </c>
      <c r="B3" t="s">
        <v>108</v>
      </c>
      <c r="C3">
        <v>1</v>
      </c>
      <c r="D3" t="s">
        <v>109</v>
      </c>
      <c r="E3">
        <v>0</v>
      </c>
      <c r="F3" t="s">
        <v>110</v>
      </c>
      <c r="G3">
        <v>0.5</v>
      </c>
    </row>
    <row r="4" spans="1:13" x14ac:dyDescent="0.45">
      <c r="A4" t="s">
        <v>0</v>
      </c>
    </row>
    <row r="5" spans="1:13" x14ac:dyDescent="0.45">
      <c r="A5" t="s">
        <v>111</v>
      </c>
      <c r="B5" t="s">
        <v>112</v>
      </c>
      <c r="C5">
        <v>9000000</v>
      </c>
      <c r="D5" t="s">
        <v>113</v>
      </c>
      <c r="E5">
        <v>7200000000</v>
      </c>
    </row>
    <row r="6" spans="1:13" x14ac:dyDescent="0.45">
      <c r="A6" t="s">
        <v>5</v>
      </c>
      <c r="B6" t="s">
        <v>6</v>
      </c>
      <c r="C6">
        <v>1</v>
      </c>
      <c r="D6" t="s">
        <v>7</v>
      </c>
      <c r="E6">
        <v>1</v>
      </c>
      <c r="F6" t="s">
        <v>8</v>
      </c>
      <c r="G6">
        <v>1</v>
      </c>
      <c r="H6" t="s">
        <v>9</v>
      </c>
      <c r="I6">
        <v>1</v>
      </c>
      <c r="J6" t="s">
        <v>10</v>
      </c>
      <c r="K6">
        <v>1</v>
      </c>
    </row>
    <row r="7" spans="1:13" x14ac:dyDescent="0.45">
      <c r="A7" t="s">
        <v>74</v>
      </c>
    </row>
    <row r="8" spans="1:13" x14ac:dyDescent="0.45">
      <c r="A8" t="s">
        <v>114</v>
      </c>
    </row>
    <row r="9" spans="1:13" x14ac:dyDescent="0.45">
      <c r="A9" t="s">
        <v>115</v>
      </c>
      <c r="B9" t="s">
        <v>11</v>
      </c>
    </row>
    <row r="10" spans="1:13" x14ac:dyDescent="0.45">
      <c r="A10" t="s">
        <v>116</v>
      </c>
    </row>
    <row r="11" spans="1:13" x14ac:dyDescent="0.45">
      <c r="A11" t="s">
        <v>117</v>
      </c>
      <c r="B11" t="s">
        <v>118</v>
      </c>
      <c r="C11">
        <v>2400000</v>
      </c>
      <c r="D11" t="s">
        <v>119</v>
      </c>
      <c r="E11">
        <v>4800000000</v>
      </c>
    </row>
    <row r="12" spans="1:13" x14ac:dyDescent="0.45">
      <c r="A12" t="s">
        <v>72</v>
      </c>
      <c r="B12" t="s">
        <v>120</v>
      </c>
      <c r="C12">
        <v>0</v>
      </c>
      <c r="D12" t="s">
        <v>145</v>
      </c>
      <c r="E12">
        <v>0</v>
      </c>
      <c r="F12" t="s">
        <v>122</v>
      </c>
      <c r="G12">
        <v>0</v>
      </c>
      <c r="H12" t="s">
        <v>123</v>
      </c>
      <c r="I12">
        <v>0</v>
      </c>
      <c r="J12" t="s">
        <v>124</v>
      </c>
      <c r="K12">
        <v>0</v>
      </c>
      <c r="L12" t="s">
        <v>125</v>
      </c>
      <c r="M12">
        <v>0</v>
      </c>
    </row>
    <row r="13" spans="1:13" x14ac:dyDescent="0.45">
      <c r="A13" t="s">
        <v>126</v>
      </c>
    </row>
    <row r="14" spans="1:13" x14ac:dyDescent="0.45">
      <c r="A14" t="s">
        <v>127</v>
      </c>
      <c r="B14" t="s">
        <v>120</v>
      </c>
      <c r="C14">
        <v>0.5</v>
      </c>
      <c r="D14" t="s">
        <v>145</v>
      </c>
      <c r="E14">
        <v>0.5</v>
      </c>
      <c r="F14" t="s">
        <v>122</v>
      </c>
      <c r="G14">
        <v>0.5</v>
      </c>
      <c r="H14" t="s">
        <v>125</v>
      </c>
      <c r="I14">
        <v>0.5</v>
      </c>
    </row>
    <row r="15" spans="1:13" x14ac:dyDescent="0.45">
      <c r="A15" t="s">
        <v>128</v>
      </c>
      <c r="B15" t="s">
        <v>11</v>
      </c>
    </row>
    <row r="16" spans="1:13" x14ac:dyDescent="0.45">
      <c r="A16" t="s">
        <v>11</v>
      </c>
    </row>
    <row r="17" spans="1:11" x14ac:dyDescent="0.45">
      <c r="A17" t="s">
        <v>12</v>
      </c>
    </row>
    <row r="18" spans="1:11" x14ac:dyDescent="0.45">
      <c r="A18" t="s">
        <v>129</v>
      </c>
      <c r="B18" t="s">
        <v>130</v>
      </c>
    </row>
    <row r="19" spans="1:11" x14ac:dyDescent="0.45">
      <c r="A19" t="s">
        <v>131</v>
      </c>
      <c r="B19" t="s">
        <v>11</v>
      </c>
    </row>
    <row r="20" spans="1:11" x14ac:dyDescent="0.45">
      <c r="A20" t="s">
        <v>13</v>
      </c>
      <c r="B20" t="s">
        <v>14</v>
      </c>
      <c r="C20">
        <v>1</v>
      </c>
      <c r="D20" t="s">
        <v>132</v>
      </c>
      <c r="E20">
        <v>0.1</v>
      </c>
    </row>
    <row r="21" spans="1:11" x14ac:dyDescent="0.45">
      <c r="A21" t="s">
        <v>13</v>
      </c>
      <c r="B21" t="s">
        <v>19</v>
      </c>
      <c r="C21">
        <v>0.1</v>
      </c>
      <c r="D21" t="s">
        <v>15</v>
      </c>
      <c r="E21">
        <v>1</v>
      </c>
      <c r="F21" t="s">
        <v>133</v>
      </c>
      <c r="G21">
        <v>0.1</v>
      </c>
    </row>
    <row r="22" spans="1:11" x14ac:dyDescent="0.45">
      <c r="A22" t="s">
        <v>13</v>
      </c>
      <c r="B22" t="s">
        <v>77</v>
      </c>
      <c r="C22">
        <v>0</v>
      </c>
      <c r="D22" t="s">
        <v>64</v>
      </c>
      <c r="E22">
        <v>0.1</v>
      </c>
      <c r="F22" t="s">
        <v>16</v>
      </c>
      <c r="G22">
        <v>1</v>
      </c>
      <c r="H22" t="s">
        <v>134</v>
      </c>
      <c r="I22">
        <v>0.1</v>
      </c>
    </row>
    <row r="23" spans="1:11" x14ac:dyDescent="0.45">
      <c r="A23" t="s">
        <v>13</v>
      </c>
      <c r="B23" t="s">
        <v>20</v>
      </c>
      <c r="C23">
        <v>0</v>
      </c>
      <c r="D23" t="s">
        <v>78</v>
      </c>
      <c r="E23">
        <v>0</v>
      </c>
      <c r="F23" t="s">
        <v>80</v>
      </c>
      <c r="G23">
        <v>0.1</v>
      </c>
      <c r="H23" t="s">
        <v>17</v>
      </c>
      <c r="I23">
        <v>1</v>
      </c>
      <c r="J23" t="s">
        <v>135</v>
      </c>
      <c r="K23">
        <v>0.1</v>
      </c>
    </row>
    <row r="24" spans="1:11" x14ac:dyDescent="0.45">
      <c r="A24" t="s">
        <v>13</v>
      </c>
      <c r="B24" t="s">
        <v>76</v>
      </c>
      <c r="C24">
        <v>0</v>
      </c>
      <c r="D24" t="s">
        <v>79</v>
      </c>
      <c r="E24">
        <v>0</v>
      </c>
      <c r="F24" t="s">
        <v>21</v>
      </c>
      <c r="G24">
        <v>0</v>
      </c>
      <c r="H24" t="s">
        <v>81</v>
      </c>
      <c r="I24">
        <v>0.1</v>
      </c>
      <c r="J24" t="s">
        <v>18</v>
      </c>
      <c r="K24">
        <v>1</v>
      </c>
    </row>
    <row r="25" spans="1:11" x14ac:dyDescent="0.45">
      <c r="A25" t="s">
        <v>11</v>
      </c>
    </row>
    <row r="26" spans="1:11" x14ac:dyDescent="0.45">
      <c r="A26" t="s">
        <v>11</v>
      </c>
    </row>
    <row r="27" spans="1:11" x14ac:dyDescent="0.45">
      <c r="A27" t="s">
        <v>11</v>
      </c>
    </row>
    <row r="28" spans="1:11" x14ac:dyDescent="0.45">
      <c r="A28" t="s">
        <v>102</v>
      </c>
    </row>
    <row r="29" spans="1:11" x14ac:dyDescent="0.45">
      <c r="A29" t="s">
        <v>31</v>
      </c>
      <c r="B29" t="s">
        <v>6</v>
      </c>
      <c r="C29" t="s">
        <v>7</v>
      </c>
      <c r="D29" t="s">
        <v>8</v>
      </c>
      <c r="E29" t="s">
        <v>9</v>
      </c>
      <c r="F29" t="s">
        <v>10</v>
      </c>
    </row>
    <row r="30" spans="1:11" x14ac:dyDescent="0.45">
      <c r="A30" t="s">
        <v>32</v>
      </c>
      <c r="B30" t="s">
        <v>6</v>
      </c>
      <c r="C30">
        <v>1</v>
      </c>
      <c r="D30" t="s">
        <v>7</v>
      </c>
      <c r="E30">
        <v>1</v>
      </c>
      <c r="F30" t="s">
        <v>8</v>
      </c>
      <c r="G30">
        <v>1</v>
      </c>
      <c r="H30" t="s">
        <v>9</v>
      </c>
      <c r="I30">
        <v>1</v>
      </c>
      <c r="J30" t="s">
        <v>10</v>
      </c>
      <c r="K30">
        <v>1</v>
      </c>
    </row>
    <row r="31" spans="1:11" x14ac:dyDescent="0.45">
      <c r="A31" t="s">
        <v>136</v>
      </c>
      <c r="B31" t="s">
        <v>6</v>
      </c>
      <c r="C31">
        <v>-1</v>
      </c>
      <c r="D31" t="s">
        <v>7</v>
      </c>
      <c r="E31">
        <v>-1</v>
      </c>
      <c r="F31" t="s">
        <v>8</v>
      </c>
      <c r="G31">
        <v>-1</v>
      </c>
      <c r="H31" t="s">
        <v>9</v>
      </c>
      <c r="I31">
        <v>-1</v>
      </c>
      <c r="J31" t="s">
        <v>10</v>
      </c>
      <c r="K31">
        <v>-1</v>
      </c>
    </row>
    <row r="32" spans="1:11" x14ac:dyDescent="0.45">
      <c r="A32" t="s">
        <v>137</v>
      </c>
      <c r="B32" t="s">
        <v>6</v>
      </c>
      <c r="C32">
        <v>-1</v>
      </c>
      <c r="D32" t="s">
        <v>7</v>
      </c>
      <c r="E32">
        <v>-1</v>
      </c>
      <c r="F32" t="s">
        <v>8</v>
      </c>
      <c r="G32">
        <v>-1</v>
      </c>
      <c r="H32" t="s">
        <v>9</v>
      </c>
      <c r="I32">
        <v>-1</v>
      </c>
      <c r="J32" t="s">
        <v>10</v>
      </c>
      <c r="K32">
        <v>-1</v>
      </c>
    </row>
    <row r="33" spans="1:11" x14ac:dyDescent="0.45">
      <c r="A33" t="s">
        <v>70</v>
      </c>
      <c r="B33" t="s">
        <v>6</v>
      </c>
      <c r="C33">
        <v>0</v>
      </c>
      <c r="D33" t="s">
        <v>7</v>
      </c>
      <c r="E33">
        <v>0</v>
      </c>
      <c r="F33" t="s">
        <v>8</v>
      </c>
      <c r="G33">
        <v>0</v>
      </c>
      <c r="H33" t="s">
        <v>9</v>
      </c>
      <c r="I33">
        <v>0</v>
      </c>
      <c r="J33" t="s">
        <v>10</v>
      </c>
      <c r="K33">
        <v>0</v>
      </c>
    </row>
    <row r="34" spans="1:11" x14ac:dyDescent="0.45">
      <c r="A34" t="s">
        <v>138</v>
      </c>
      <c r="B34" t="s">
        <v>6</v>
      </c>
      <c r="C34" t="s">
        <v>157</v>
      </c>
      <c r="D34" t="s">
        <v>7</v>
      </c>
      <c r="E34" t="s">
        <v>140</v>
      </c>
      <c r="F34" t="s">
        <v>8</v>
      </c>
      <c r="G34" t="s">
        <v>141</v>
      </c>
      <c r="H34" t="s">
        <v>9</v>
      </c>
      <c r="I34" t="s">
        <v>142</v>
      </c>
      <c r="J34" t="s">
        <v>10</v>
      </c>
      <c r="K34" t="s">
        <v>158</v>
      </c>
    </row>
    <row r="35" spans="1:11" x14ac:dyDescent="0.45">
      <c r="A35" t="s">
        <v>22</v>
      </c>
      <c r="B35" t="s">
        <v>159</v>
      </c>
      <c r="C35" t="s">
        <v>160</v>
      </c>
      <c r="D35" t="s">
        <v>161</v>
      </c>
      <c r="E35" t="s">
        <v>162</v>
      </c>
      <c r="F35" t="s">
        <v>163</v>
      </c>
      <c r="G35" t="s">
        <v>164</v>
      </c>
      <c r="H35" t="s">
        <v>165</v>
      </c>
      <c r="I35" t="s">
        <v>97</v>
      </c>
    </row>
    <row r="36" spans="1:11" x14ac:dyDescent="0.45">
      <c r="A36" t="s">
        <v>26</v>
      </c>
      <c r="B36" t="s">
        <v>166</v>
      </c>
      <c r="C36" t="s">
        <v>167</v>
      </c>
      <c r="D36" t="s">
        <v>62</v>
      </c>
      <c r="E36" t="s">
        <v>84</v>
      </c>
      <c r="F36" t="s">
        <v>30</v>
      </c>
    </row>
    <row r="37" spans="1:11" x14ac:dyDescent="0.45">
      <c r="A37" t="s">
        <v>33</v>
      </c>
      <c r="B37" t="s">
        <v>159</v>
      </c>
      <c r="C37" t="s">
        <v>95</v>
      </c>
    </row>
    <row r="38" spans="1:11" x14ac:dyDescent="0.45">
      <c r="A38" t="s">
        <v>33</v>
      </c>
      <c r="B38" t="s">
        <v>160</v>
      </c>
    </row>
    <row r="39" spans="1:11" x14ac:dyDescent="0.45">
      <c r="A39" t="s">
        <v>33</v>
      </c>
      <c r="B39" t="s">
        <v>161</v>
      </c>
      <c r="C39" t="s">
        <v>92</v>
      </c>
    </row>
    <row r="40" spans="1:11" x14ac:dyDescent="0.45">
      <c r="A40" t="s">
        <v>33</v>
      </c>
      <c r="B40" t="s">
        <v>162</v>
      </c>
      <c r="C40" t="s">
        <v>91</v>
      </c>
    </row>
    <row r="41" spans="1:11" x14ac:dyDescent="0.45">
      <c r="A41" t="s">
        <v>11</v>
      </c>
      <c r="B41" t="s">
        <v>163</v>
      </c>
      <c r="C41" t="s">
        <v>94</v>
      </c>
    </row>
    <row r="42" spans="1:11" x14ac:dyDescent="0.45">
      <c r="A42" t="s">
        <v>33</v>
      </c>
      <c r="B42" t="s">
        <v>164</v>
      </c>
      <c r="C42" t="s">
        <v>95</v>
      </c>
    </row>
    <row r="43" spans="1:11" x14ac:dyDescent="0.45">
      <c r="A43" t="s">
        <v>33</v>
      </c>
      <c r="B43" t="s">
        <v>165</v>
      </c>
      <c r="C43" t="s">
        <v>149</v>
      </c>
    </row>
    <row r="44" spans="1:11" x14ac:dyDescent="0.45">
      <c r="A44" t="s">
        <v>33</v>
      </c>
      <c r="B44" t="s">
        <v>97</v>
      </c>
      <c r="C44" t="s">
        <v>95</v>
      </c>
    </row>
    <row r="45" spans="1:11" x14ac:dyDescent="0.45">
      <c r="A45" t="s">
        <v>33</v>
      </c>
      <c r="B45" t="s">
        <v>166</v>
      </c>
      <c r="C45" t="s">
        <v>95</v>
      </c>
    </row>
    <row r="46" spans="1:11" x14ac:dyDescent="0.45">
      <c r="A46" t="s">
        <v>33</v>
      </c>
      <c r="B46" t="s">
        <v>167</v>
      </c>
    </row>
    <row r="47" spans="1:11" x14ac:dyDescent="0.45">
      <c r="A47" t="s">
        <v>33</v>
      </c>
      <c r="B47" t="s">
        <v>62</v>
      </c>
    </row>
    <row r="48" spans="1:11" x14ac:dyDescent="0.45">
      <c r="A48" t="s">
        <v>33</v>
      </c>
      <c r="B48" t="s">
        <v>84</v>
      </c>
    </row>
    <row r="49" spans="1:18" x14ac:dyDescent="0.45">
      <c r="A49" t="s">
        <v>11</v>
      </c>
    </row>
    <row r="50" spans="1:18" x14ac:dyDescent="0.45">
      <c r="A50" t="s">
        <v>11</v>
      </c>
    </row>
    <row r="51" spans="1:18" x14ac:dyDescent="0.45">
      <c r="A51" t="s">
        <v>11</v>
      </c>
    </row>
    <row r="52" spans="1:18" x14ac:dyDescent="0.45">
      <c r="A52" t="s">
        <v>11</v>
      </c>
    </row>
    <row r="53" spans="1:18" x14ac:dyDescent="0.45">
      <c r="A53" t="s">
        <v>11</v>
      </c>
      <c r="B53" t="s">
        <v>168</v>
      </c>
    </row>
    <row r="54" spans="1:18" x14ac:dyDescent="0.45">
      <c r="A54" t="s">
        <v>58</v>
      </c>
      <c r="B54" t="s">
        <v>59</v>
      </c>
      <c r="C54" t="s">
        <v>97</v>
      </c>
      <c r="D54" t="s">
        <v>60</v>
      </c>
      <c r="E54" t="s">
        <v>62</v>
      </c>
      <c r="F54" t="s">
        <v>61</v>
      </c>
      <c r="G54" t="s">
        <v>164</v>
      </c>
    </row>
    <row r="55" spans="1:18" x14ac:dyDescent="0.45">
      <c r="A55" t="s">
        <v>56</v>
      </c>
    </row>
    <row r="56" spans="1:18" x14ac:dyDescent="0.45">
      <c r="A56" t="s">
        <v>107</v>
      </c>
      <c r="B56" t="s">
        <v>37</v>
      </c>
      <c r="C56" t="s">
        <v>38</v>
      </c>
      <c r="D56" t="s">
        <v>39</v>
      </c>
      <c r="E56" t="s">
        <v>40</v>
      </c>
      <c r="F56" t="s">
        <v>39</v>
      </c>
      <c r="G56" t="s">
        <v>41</v>
      </c>
      <c r="H56" t="s">
        <v>39</v>
      </c>
      <c r="I56" t="s">
        <v>50</v>
      </c>
      <c r="J56" t="s">
        <v>39</v>
      </c>
    </row>
    <row r="57" spans="1:18" x14ac:dyDescent="0.45">
      <c r="A57" t="s">
        <v>42</v>
      </c>
      <c r="B57" t="s">
        <v>52</v>
      </c>
      <c r="C57" t="s">
        <v>43</v>
      </c>
      <c r="D57">
        <v>20000</v>
      </c>
      <c r="E57" t="s">
        <v>152</v>
      </c>
      <c r="F57">
        <v>0</v>
      </c>
      <c r="G57" t="s">
        <v>153</v>
      </c>
      <c r="H57">
        <v>130</v>
      </c>
      <c r="I57" t="s">
        <v>154</v>
      </c>
      <c r="J57">
        <v>2</v>
      </c>
    </row>
    <row r="58" spans="1:18" x14ac:dyDescent="0.45">
      <c r="A58" t="s">
        <v>42</v>
      </c>
      <c r="B58" t="s">
        <v>53</v>
      </c>
      <c r="C58" t="s">
        <v>6</v>
      </c>
      <c r="D58">
        <v>1</v>
      </c>
    </row>
    <row r="59" spans="1:18" x14ac:dyDescent="0.45">
      <c r="A59" t="s">
        <v>42</v>
      </c>
      <c r="B59" t="s">
        <v>54</v>
      </c>
      <c r="C59" t="s">
        <v>166</v>
      </c>
      <c r="D59">
        <v>19625700</v>
      </c>
      <c r="E59" t="s">
        <v>167</v>
      </c>
      <c r="F59">
        <v>19625700</v>
      </c>
      <c r="G59" t="s">
        <v>62</v>
      </c>
      <c r="H59">
        <v>0</v>
      </c>
      <c r="I59" t="s">
        <v>84</v>
      </c>
      <c r="J59">
        <v>196257</v>
      </c>
    </row>
    <row r="60" spans="1:18" x14ac:dyDescent="0.45">
      <c r="A60" t="s">
        <v>42</v>
      </c>
      <c r="B60" t="s">
        <v>55</v>
      </c>
      <c r="C60" t="s">
        <v>159</v>
      </c>
      <c r="D60">
        <v>8033</v>
      </c>
      <c r="E60" t="s">
        <v>160</v>
      </c>
      <c r="F60">
        <v>8033</v>
      </c>
      <c r="G60" t="s">
        <v>161</v>
      </c>
      <c r="H60">
        <v>8033</v>
      </c>
      <c r="I60" t="s">
        <v>162</v>
      </c>
      <c r="J60">
        <v>8033</v>
      </c>
      <c r="K60" t="s">
        <v>163</v>
      </c>
      <c r="L60">
        <v>8033</v>
      </c>
      <c r="M60" t="s">
        <v>97</v>
      </c>
      <c r="N60">
        <v>0</v>
      </c>
      <c r="O60" t="s">
        <v>165</v>
      </c>
      <c r="P60">
        <v>803300</v>
      </c>
      <c r="Q60" t="s">
        <v>164</v>
      </c>
      <c r="R60">
        <v>8033</v>
      </c>
    </row>
    <row r="61" spans="1:18" x14ac:dyDescent="0.45">
      <c r="A61" t="s">
        <v>46</v>
      </c>
      <c r="B61" t="s">
        <v>52</v>
      </c>
      <c r="C61" t="s">
        <v>43</v>
      </c>
      <c r="D61">
        <v>1</v>
      </c>
      <c r="E61" t="s">
        <v>152</v>
      </c>
      <c r="F61">
        <v>0</v>
      </c>
      <c r="G61" t="s">
        <v>153</v>
      </c>
      <c r="H61">
        <v>60</v>
      </c>
      <c r="I61" t="s">
        <v>154</v>
      </c>
      <c r="J61">
        <v>10</v>
      </c>
    </row>
    <row r="62" spans="1:18" x14ac:dyDescent="0.45">
      <c r="A62" t="s">
        <v>46</v>
      </c>
      <c r="B62" t="s">
        <v>53</v>
      </c>
      <c r="C62" t="s">
        <v>7</v>
      </c>
      <c r="D62">
        <v>1</v>
      </c>
    </row>
    <row r="63" spans="1:18" x14ac:dyDescent="0.45">
      <c r="A63" t="s">
        <v>46</v>
      </c>
      <c r="B63" t="s">
        <v>54</v>
      </c>
    </row>
    <row r="64" spans="1:18" x14ac:dyDescent="0.45">
      <c r="A64" t="s">
        <v>46</v>
      </c>
      <c r="B64" t="s">
        <v>55</v>
      </c>
    </row>
    <row r="65" spans="1:18" x14ac:dyDescent="0.45">
      <c r="A65" t="s">
        <v>47</v>
      </c>
      <c r="B65" t="s">
        <v>52</v>
      </c>
      <c r="C65" t="s">
        <v>43</v>
      </c>
      <c r="D65">
        <v>1</v>
      </c>
      <c r="E65" t="s">
        <v>152</v>
      </c>
      <c r="F65">
        <v>0</v>
      </c>
      <c r="G65" t="s">
        <v>153</v>
      </c>
      <c r="H65">
        <v>60</v>
      </c>
      <c r="I65" t="s">
        <v>154</v>
      </c>
      <c r="J65">
        <v>10</v>
      </c>
    </row>
    <row r="66" spans="1:18" x14ac:dyDescent="0.45">
      <c r="A66" t="s">
        <v>47</v>
      </c>
      <c r="B66" t="s">
        <v>53</v>
      </c>
      <c r="C66" t="s">
        <v>8</v>
      </c>
      <c r="D66">
        <v>1</v>
      </c>
    </row>
    <row r="67" spans="1:18" x14ac:dyDescent="0.45">
      <c r="A67" t="s">
        <v>47</v>
      </c>
      <c r="B67" t="s">
        <v>54</v>
      </c>
    </row>
    <row r="68" spans="1:18" x14ac:dyDescent="0.45">
      <c r="A68" t="s">
        <v>47</v>
      </c>
      <c r="B68" t="s">
        <v>55</v>
      </c>
    </row>
    <row r="69" spans="1:18" x14ac:dyDescent="0.45">
      <c r="A69" t="s">
        <v>48</v>
      </c>
      <c r="B69" t="s">
        <v>52</v>
      </c>
      <c r="C69" t="s">
        <v>43</v>
      </c>
      <c r="D69">
        <v>1</v>
      </c>
      <c r="E69" t="s">
        <v>152</v>
      </c>
      <c r="F69">
        <v>0</v>
      </c>
      <c r="G69" t="s">
        <v>153</v>
      </c>
      <c r="H69">
        <v>60</v>
      </c>
      <c r="I69" t="s">
        <v>154</v>
      </c>
      <c r="J69">
        <v>10</v>
      </c>
    </row>
    <row r="70" spans="1:18" x14ac:dyDescent="0.45">
      <c r="A70" t="s">
        <v>48</v>
      </c>
      <c r="B70" t="s">
        <v>53</v>
      </c>
      <c r="C70" t="s">
        <v>9</v>
      </c>
      <c r="D70">
        <v>1</v>
      </c>
    </row>
    <row r="71" spans="1:18" x14ac:dyDescent="0.45">
      <c r="A71" t="s">
        <v>48</v>
      </c>
      <c r="B71" t="s">
        <v>54</v>
      </c>
    </row>
    <row r="72" spans="1:18" x14ac:dyDescent="0.45">
      <c r="A72" t="s">
        <v>48</v>
      </c>
      <c r="B72" t="s">
        <v>55</v>
      </c>
    </row>
    <row r="73" spans="1:18" x14ac:dyDescent="0.45">
      <c r="A73" t="s">
        <v>49</v>
      </c>
      <c r="B73" t="s">
        <v>52</v>
      </c>
      <c r="C73" t="s">
        <v>43</v>
      </c>
      <c r="D73">
        <v>1</v>
      </c>
      <c r="E73" t="s">
        <v>152</v>
      </c>
      <c r="F73">
        <v>0</v>
      </c>
      <c r="G73" t="s">
        <v>153</v>
      </c>
      <c r="H73">
        <v>130</v>
      </c>
      <c r="I73" t="s">
        <v>154</v>
      </c>
      <c r="J73">
        <v>2</v>
      </c>
    </row>
    <row r="74" spans="1:18" x14ac:dyDescent="0.45">
      <c r="A74" t="s">
        <v>49</v>
      </c>
      <c r="B74" t="s">
        <v>53</v>
      </c>
      <c r="C74" t="s">
        <v>10</v>
      </c>
      <c r="D74">
        <v>1</v>
      </c>
    </row>
    <row r="75" spans="1:18" x14ac:dyDescent="0.45">
      <c r="A75" t="s">
        <v>49</v>
      </c>
      <c r="B75" t="s">
        <v>54</v>
      </c>
      <c r="C75" t="s">
        <v>166</v>
      </c>
      <c r="D75">
        <v>0</v>
      </c>
      <c r="E75" t="s">
        <v>167</v>
      </c>
      <c r="F75">
        <v>0</v>
      </c>
      <c r="G75" t="s">
        <v>62</v>
      </c>
      <c r="H75">
        <v>0</v>
      </c>
      <c r="I75" t="s">
        <v>84</v>
      </c>
      <c r="J75">
        <v>0</v>
      </c>
    </row>
    <row r="76" spans="1:18" x14ac:dyDescent="0.45">
      <c r="A76" t="s">
        <v>49</v>
      </c>
      <c r="B76" t="s">
        <v>55</v>
      </c>
      <c r="C76" t="s">
        <v>159</v>
      </c>
      <c r="D76">
        <v>0</v>
      </c>
      <c r="E76" t="s">
        <v>160</v>
      </c>
      <c r="F76">
        <v>0</v>
      </c>
      <c r="G76" t="s">
        <v>161</v>
      </c>
      <c r="H76">
        <v>0</v>
      </c>
      <c r="I76" t="s">
        <v>162</v>
      </c>
      <c r="J76">
        <v>0</v>
      </c>
      <c r="K76" t="s">
        <v>163</v>
      </c>
      <c r="L76">
        <v>0</v>
      </c>
      <c r="M76" t="s">
        <v>97</v>
      </c>
      <c r="N76">
        <v>0</v>
      </c>
      <c r="O76" t="s">
        <v>165</v>
      </c>
      <c r="P76">
        <v>0</v>
      </c>
      <c r="Q76" t="s">
        <v>164</v>
      </c>
      <c r="R76">
        <v>0</v>
      </c>
    </row>
    <row r="77" spans="1:18" x14ac:dyDescent="0.45">
      <c r="A77" t="s">
        <v>63</v>
      </c>
      <c r="B77" t="s">
        <v>52</v>
      </c>
      <c r="C77" t="s">
        <v>43</v>
      </c>
      <c r="D77">
        <v>1</v>
      </c>
      <c r="E77" t="s">
        <v>152</v>
      </c>
      <c r="F77">
        <v>0</v>
      </c>
      <c r="G77" t="s">
        <v>153</v>
      </c>
      <c r="H77">
        <v>30</v>
      </c>
      <c r="I77" t="s">
        <v>154</v>
      </c>
      <c r="J77">
        <v>2</v>
      </c>
    </row>
    <row r="78" spans="1:18" x14ac:dyDescent="0.45">
      <c r="A78" t="s">
        <v>63</v>
      </c>
      <c r="B78" t="s">
        <v>53</v>
      </c>
      <c r="C78" t="s">
        <v>9</v>
      </c>
      <c r="D78">
        <v>1</v>
      </c>
    </row>
    <row r="79" spans="1:18" x14ac:dyDescent="0.45">
      <c r="A79" t="s">
        <v>63</v>
      </c>
      <c r="B79" t="s">
        <v>54</v>
      </c>
    </row>
    <row r="80" spans="1:18" x14ac:dyDescent="0.45">
      <c r="A80" t="s">
        <v>63</v>
      </c>
      <c r="B80" t="s">
        <v>55</v>
      </c>
    </row>
    <row r="81" spans="1:10" x14ac:dyDescent="0.45">
      <c r="A81" t="s">
        <v>156</v>
      </c>
      <c r="B81" t="s">
        <v>52</v>
      </c>
      <c r="C81" t="s">
        <v>43</v>
      </c>
      <c r="D81">
        <v>1</v>
      </c>
      <c r="E81" t="s">
        <v>152</v>
      </c>
      <c r="F81">
        <v>0</v>
      </c>
      <c r="G81" t="s">
        <v>153</v>
      </c>
      <c r="H81">
        <v>100</v>
      </c>
      <c r="I81" t="s">
        <v>154</v>
      </c>
      <c r="J81">
        <v>2</v>
      </c>
    </row>
    <row r="82" spans="1:10" x14ac:dyDescent="0.45">
      <c r="A82" t="s">
        <v>156</v>
      </c>
      <c r="B82" t="s">
        <v>53</v>
      </c>
      <c r="C82" t="s">
        <v>6</v>
      </c>
      <c r="D82">
        <v>1</v>
      </c>
    </row>
    <row r="83" spans="1:10" x14ac:dyDescent="0.45">
      <c r="A83" t="s">
        <v>156</v>
      </c>
      <c r="B83" t="s">
        <v>54</v>
      </c>
    </row>
    <row r="84" spans="1:10" x14ac:dyDescent="0.45">
      <c r="A84" t="s">
        <v>156</v>
      </c>
      <c r="B84" t="s">
        <v>55</v>
      </c>
    </row>
    <row r="85" spans="1:10" x14ac:dyDescent="0.45">
      <c r="A85" t="s">
        <v>11</v>
      </c>
    </row>
    <row r="86" spans="1:10" x14ac:dyDescent="0.45">
      <c r="A86" t="s">
        <v>11</v>
      </c>
    </row>
    <row r="87" spans="1:10" x14ac:dyDescent="0.45">
      <c r="A87" t="s">
        <v>11</v>
      </c>
    </row>
    <row r="88" spans="1:10" x14ac:dyDescent="0.45">
      <c r="A88" t="s">
        <v>11</v>
      </c>
    </row>
    <row r="89" spans="1:10" x14ac:dyDescent="0.45">
      <c r="A89" t="s">
        <v>11</v>
      </c>
    </row>
    <row r="90" spans="1:10" x14ac:dyDescent="0.45">
      <c r="A90" t="s">
        <v>11</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heetViews>
  <sheetFormatPr baseColWidth="10" defaultRowHeight="14.25" x14ac:dyDescent="0.45"/>
  <cols>
    <col min="4" max="4" width="4.265625" customWidth="1"/>
    <col min="8" max="8" width="4.53125" customWidth="1"/>
  </cols>
  <sheetData>
    <row r="1" spans="1:31" x14ac:dyDescent="0.45">
      <c r="A1" t="s">
        <v>68</v>
      </c>
      <c r="I1" t="s">
        <v>66</v>
      </c>
      <c r="J1" t="s">
        <v>67</v>
      </c>
      <c r="K1" t="s">
        <v>73</v>
      </c>
      <c r="M1" t="s">
        <v>85</v>
      </c>
      <c r="N1" t="s">
        <v>86</v>
      </c>
      <c r="O1" t="s">
        <v>87</v>
      </c>
      <c r="P1" t="s">
        <v>88</v>
      </c>
      <c r="Q1" t="s">
        <v>89</v>
      </c>
    </row>
    <row r="2" spans="1:31" x14ac:dyDescent="0.45">
      <c r="A2" s="4" t="s">
        <v>6</v>
      </c>
      <c r="B2" s="5" t="s">
        <v>7</v>
      </c>
      <c r="C2" s="6" t="s">
        <v>8</v>
      </c>
      <c r="E2" s="4" t="s">
        <v>27</v>
      </c>
      <c r="F2" s="5" t="s">
        <v>34</v>
      </c>
      <c r="G2" s="6" t="s">
        <v>29</v>
      </c>
      <c r="I2" s="8">
        <v>0.8</v>
      </c>
      <c r="J2" s="8">
        <v>1</v>
      </c>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x14ac:dyDescent="0.45">
      <c r="E8" s="1" t="s">
        <v>83</v>
      </c>
      <c r="F8" s="1" t="s">
        <v>83</v>
      </c>
      <c r="G8" s="1" t="s">
        <v>83</v>
      </c>
    </row>
    <row r="9" spans="1:31" ht="3" customHeight="1" x14ac:dyDescent="0.45">
      <c r="E9" s="1" t="s">
        <v>29</v>
      </c>
      <c r="F9" s="1" t="s">
        <v>29</v>
      </c>
      <c r="G9" s="1" t="s">
        <v>29</v>
      </c>
    </row>
    <row r="10" spans="1:31" hidden="1" x14ac:dyDescent="0.45">
      <c r="E10" s="1" t="s">
        <v>34</v>
      </c>
      <c r="F10" s="1" t="s">
        <v>34</v>
      </c>
      <c r="G10" s="1" t="s">
        <v>34</v>
      </c>
      <c r="J10" s="1"/>
      <c r="K10" s="1"/>
      <c r="L10" s="1"/>
    </row>
    <row r="11" spans="1:31" x14ac:dyDescent="0.45">
      <c r="E11" s="1" t="s">
        <v>71</v>
      </c>
      <c r="F11" s="1" t="s">
        <v>71</v>
      </c>
      <c r="G11" s="1" t="s">
        <v>71</v>
      </c>
      <c r="L11" s="1"/>
    </row>
    <row r="12" spans="1:31" x14ac:dyDescent="0.45">
      <c r="A12" t="s">
        <v>65</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E7" sqref="E7"/>
    </sheetView>
  </sheetViews>
  <sheetFormatPr baseColWidth="10" defaultRowHeight="14.25" x14ac:dyDescent="0.45"/>
  <cols>
    <col min="1" max="1" width="22.3984375" style="1" customWidth="1"/>
    <col min="2" max="2" width="23.73046875" style="1" customWidth="1"/>
    <col min="3" max="3" width="11.3984375" style="2"/>
    <col min="4" max="15" width="11.39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77</v>
      </c>
      <c r="O2" s="10">
        <v>1E-3</v>
      </c>
      <c r="P2" s="9" t="s">
        <v>20</v>
      </c>
      <c r="Q2" s="10">
        <v>1E-3</v>
      </c>
      <c r="R2" s="9" t="s">
        <v>76</v>
      </c>
      <c r="S2" s="10">
        <v>0.01</v>
      </c>
      <c r="T2" s="8" t="s">
        <v>64</v>
      </c>
      <c r="U2" s="8">
        <v>0.3</v>
      </c>
      <c r="V2" s="8" t="s">
        <v>78</v>
      </c>
      <c r="W2" s="8">
        <v>0.01</v>
      </c>
      <c r="X2" s="8" t="s">
        <v>79</v>
      </c>
      <c r="Y2" s="8">
        <v>0.01</v>
      </c>
      <c r="Z2" s="8" t="s">
        <v>80</v>
      </c>
      <c r="AA2" s="8">
        <v>0</v>
      </c>
      <c r="AB2" s="8" t="s">
        <v>21</v>
      </c>
      <c r="AC2" s="8">
        <v>1E-3</v>
      </c>
      <c r="AD2" s="8" t="s">
        <v>81</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77</v>
      </c>
      <c r="B12" s="10">
        <v>1E-3</v>
      </c>
      <c r="C12" s="9" t="s">
        <v>20</v>
      </c>
      <c r="D12" s="10">
        <v>1E-3</v>
      </c>
      <c r="E12" s="9" t="s">
        <v>76</v>
      </c>
      <c r="F12" s="10">
        <v>0.01</v>
      </c>
      <c r="G12" s="8" t="s">
        <v>64</v>
      </c>
      <c r="H12" s="8">
        <v>0.3</v>
      </c>
      <c r="I12" s="8" t="s">
        <v>78</v>
      </c>
      <c r="J12" s="8">
        <v>0.01</v>
      </c>
      <c r="K12" s="8" t="s">
        <v>79</v>
      </c>
      <c r="L12" s="8">
        <v>0.01</v>
      </c>
    </row>
    <row r="13" spans="1:65" x14ac:dyDescent="0.45">
      <c r="A13" s="8" t="s">
        <v>80</v>
      </c>
      <c r="B13" s="8">
        <v>0</v>
      </c>
      <c r="C13" s="8" t="s">
        <v>21</v>
      </c>
      <c r="D13" s="8">
        <v>1E-3</v>
      </c>
      <c r="E13" s="8" t="s">
        <v>81</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inicial</vt:lpstr>
      <vt:lpstr>Hoja1</vt:lpstr>
      <vt:lpstr>pruebas</vt:lpstr>
      <vt:lpstr>Hoja3</vt:lpstr>
      <vt:lpstr>controles</vt:lpstr>
      <vt:lpstr>Valores Usados</vt:lpstr>
      <vt:lpstr>Hoja1!inputIntrTransp3</vt:lpstr>
      <vt:lpstr>Hoja3!inputIntrTransp316_01_20_fromVesicular</vt:lpstr>
      <vt:lpstr>inicial!inputIntrTransp316_01_20_fromVesicular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2020-01-16T18:23:35Z</dcterms:modified>
</cp:coreProperties>
</file>
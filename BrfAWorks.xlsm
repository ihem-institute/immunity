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5" activeTab="2"/>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E11" i="1" l="1"/>
  <c r="C11" i="1"/>
  <c r="E5" i="1"/>
  <c r="C5" i="1"/>
  <c r="A48" i="7" l="1"/>
  <c r="G2" i="7"/>
  <c r="A48" i="6"/>
  <c r="G2" i="6"/>
  <c r="A48" i="5"/>
  <c r="G2" i="5"/>
  <c r="A56" i="1" l="1"/>
  <c r="A48" i="4"/>
  <c r="G2" i="4"/>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sharedStrings.xml><?xml version="1.0" encoding="utf-8"?>
<sst xmlns="http://schemas.openxmlformats.org/spreadsheetml/2006/main" count="1634" uniqueCount="168">
  <si>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</si>
  <si>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</si>
  <si>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</si>
  <si>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</si>
  <si>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</si>
  <si>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</si>
  <si>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</si>
  <si>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</si>
  <si>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</si>
  <si>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</si>
  <si>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</si>
  <si>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</si>
  <si>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</si>
  <si>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</si>
  <si>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</si>
  <si>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</si>
  <si>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</si>
  <si>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</si>
  <si>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</si>
  <si>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</si>
  <si>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</si>
  <si>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</si>
  <si>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</si>
  <si>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</si>
  <si>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</si>
  <si>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</si>
  <si>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</si>
  <si>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</si>
  <si>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</si>
  <si>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</si>
  <si>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</si>
  <si>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</si>
  <si>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</si>
  <si>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</si>
  <si>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</si>
  <si>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</si>
  <si>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</si>
  <si>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</si>
  <si>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</si>
  <si>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</si>
  <si>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</si>
  <si>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</si>
  <si>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</si>
  <si>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</si>
  <si>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</si>
  <si>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</si>
  <si>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</si>
  <si>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</si>
  <si>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</si>
  <si>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</si>
  <si>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</si>
  <si>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</si>
  <si>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</si>
  <si>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</si>
  <si>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</si>
  <si>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</si>
  <si>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</si>
  <si>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</si>
  <si>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</si>
  <si>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</si>
  <si>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</si>
  <si>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</si>
  <si>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</si>
  <si>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</si>
  <si>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</si>
  <si>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</si>
  <si>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</si>
  <si>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</si>
  <si>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</si>
  <si>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</si>
  <si>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</si>
  <si>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</si>
  <si>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</si>
  <si>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</si>
  <si>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</si>
  <si>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</si>
  <si>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</si>
  <si>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</si>
  <si>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</si>
  <si>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</si>
  <si>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</si>
  <si>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</si>
  <si>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</si>
  <si>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</si>
  <si>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</si>
  <si>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</si>
  <si>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RabE10</t>
  </si>
  <si>
    <t>sph</t>
  </si>
  <si>
    <t>membraneMarker</t>
  </si>
  <si>
    <t>M6PR-HexA</t>
  </si>
  <si>
    <t>METABOLITES and RABS</t>
  </si>
  <si>
    <t>chol</t>
  </si>
  <si>
    <t>RabA04</t>
  </si>
  <si>
    <t>RabE04</t>
  </si>
  <si>
    <t>maxRadius</t>
  </si>
  <si>
    <t>maxAsym</t>
  </si>
  <si>
    <t>position</t>
  </si>
  <si>
    <t>pept</t>
  </si>
  <si>
    <t>AS106</t>
  </si>
  <si>
    <t>Glut4</t>
  </si>
  <si>
    <t>membraneCell</t>
  </si>
  <si>
    <t>kind7</t>
  </si>
  <si>
    <t>freezeDry</t>
  </si>
  <si>
    <t>Reset to initial</t>
  </si>
  <si>
    <t>kineticsArea</t>
  </si>
  <si>
    <t>RabB04</t>
  </si>
  <si>
    <t>RabC04</t>
  </si>
  <si>
    <t>organelle</t>
  </si>
  <si>
    <t>cisGolgi</t>
  </si>
  <si>
    <t>mediumGolgi</t>
  </si>
  <si>
    <t>transGolgi</t>
  </si>
  <si>
    <t>TGN</t>
  </si>
  <si>
    <t>ERGIC</t>
  </si>
  <si>
    <t>TfR</t>
  </si>
  <si>
    <t>L1</t>
  </si>
  <si>
    <t>p75</t>
  </si>
  <si>
    <t>albumin</t>
  </si>
  <si>
    <t>GalT</t>
  </si>
  <si>
    <t>RabE06</t>
  </si>
  <si>
    <t>lipid</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</si>
  <si>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</si>
  <si>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</si>
  <si>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</si>
  <si>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</si>
  <si>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</si>
  <si>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</si>
  <si>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</si>
  <si>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</si>
  <si>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</si>
  <si>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</si>
  <si>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</si>
  <si>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</si>
  <si>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</si>
  <si>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</si>
  <si>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</si>
  <si>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</si>
  <si>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</si>
  <si>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</si>
  <si>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</si>
  <si>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</si>
  <si>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</si>
  <si>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</si>
  <si>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</si>
  <si>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</si>
  <si>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</si>
  <si>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</si>
  <si>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</si>
  <si>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</si>
  <si>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</si>
  <si>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</si>
  <si>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</si>
  <si>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Gpli</t>
  </si>
  <si>
    <t>Spli</t>
  </si>
  <si>
    <t>RabB03</t>
  </si>
  <si>
    <t>RabC01</t>
  </si>
  <si>
    <t>RabA05</t>
  </si>
  <si>
    <t>RabE05</t>
  </si>
  <si>
    <t>RabD01</t>
  </si>
  <si>
    <t>VSVG</t>
  </si>
  <si>
    <t>ManI</t>
  </si>
  <si>
    <t>KdelR</t>
  </si>
  <si>
    <t>RabBRabA</t>
  </si>
  <si>
    <t>RabCRabB</t>
  </si>
  <si>
    <t>RabDRabC</t>
  </si>
  <si>
    <t>RabERabD</t>
  </si>
  <si>
    <t>ER</t>
  </si>
  <si>
    <t>medialGollgi</t>
  </si>
  <si>
    <t>transGollgi</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</si>
</sst>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zoomScale="90" zoomScaleNormal="90" workbookViewId="0">
      <selection sqref="A1:AF90"/>
    </sheetView>
  </sheetViews>
  <sheetFormatPr baseColWidth="10" defaultRowHeight="14.25" x14ac:dyDescent="0.65"/>
  <cols>
    <col min="1" max="1" width="11.453125" style="1"/>
    <col min="2" max="2" width="23.76953125" style="1" customWidth="1"/>
    <col min="3" max="3" width="11.453125" style="2"/>
    <col min="4" max="4" width="11.453125" style="1"/>
    <col min="5" max="5" width="13.453125" style="1" customWidth="1"/>
    <col min="6" max="6" width="13.76953125" style="1" customWidth="1"/>
    <col min="7" max="15" width="11.453125" style="1"/>
  </cols>
  <sheetData>
    <row r="1" spans="1:16" s="7" customFormat="1" x14ac:dyDescent="0.65">
      <c r="A1" s="13" t="s">
        <v>135</v>
      </c>
      <c r="B1" s="11"/>
      <c r="C1" s="12"/>
      <c r="D1" s="11"/>
      <c r="E1" s="11"/>
      <c r="F1" s="11"/>
      <c r="G1" s="11"/>
      <c r="H1" s="11"/>
      <c r="I1" s="11"/>
      <c r="J1" s="11"/>
      <c r="K1" s="11"/>
      <c r="L1" s="11"/>
      <c r="M1" s="11"/>
      <c r="N1" s="11"/>
      <c r="O1" s="11"/>
    </row>
    <row r="2" spans="1:16" s="7" customFormat="1" x14ac:dyDescent="0.65">
      <c r="A2" s="11" t="s">
        <v>1</v>
      </c>
      <c r="B2" s="11" t="s">
        <v>2</v>
      </c>
      <c r="C2" s="12">
        <v>20</v>
      </c>
      <c r="D2" s="11" t="s">
        <v>64</v>
      </c>
      <c r="E2" s="11">
        <v>0.5</v>
      </c>
      <c r="F2" s="11" t="s">
        <v>69</v>
      </c>
      <c r="G2" s="11">
        <v>0.5</v>
      </c>
      <c r="H2" s="11" t="s">
        <v>102</v>
      </c>
      <c r="I2" s="11">
        <v>0</v>
      </c>
      <c r="N2" s="11"/>
      <c r="O2" s="11"/>
    </row>
    <row r="3" spans="1:16" s="7" customFormat="1" x14ac:dyDescent="0.65">
      <c r="A3" s="11" t="s">
        <v>1</v>
      </c>
      <c r="B3" s="11" t="s">
        <v>104</v>
      </c>
      <c r="C3" s="12">
        <v>1</v>
      </c>
      <c r="D3" s="11"/>
      <c r="E3" s="11"/>
      <c r="F3" s="11"/>
      <c r="G3" s="11"/>
      <c r="H3" s="11"/>
      <c r="I3" s="11"/>
      <c r="J3" s="11"/>
      <c r="K3" s="11"/>
      <c r="L3" s="11"/>
      <c r="M3" s="14"/>
      <c r="N3" s="11"/>
      <c r="O3" s="11"/>
    </row>
    <row r="4" spans="1:16" s="7" customFormat="1" x14ac:dyDescent="0.65">
      <c r="A4" s="13" t="s">
        <v>0</v>
      </c>
      <c r="B4" s="11"/>
      <c r="C4" s="12"/>
      <c r="D4" s="11"/>
      <c r="E4" s="11"/>
      <c r="F4" s="11"/>
      <c r="G4" s="11"/>
      <c r="H4" s="11"/>
      <c r="I4" s="11"/>
      <c r="J4" s="11"/>
      <c r="K4" s="11"/>
      <c r="L4" s="11"/>
      <c r="M4" s="11"/>
      <c r="N4" s="11"/>
      <c r="O4" s="11"/>
    </row>
    <row r="5" spans="1:16" x14ac:dyDescent="0.65">
      <c r="A5" s="1" t="s">
        <v>149</v>
      </c>
      <c r="B5" s="1" t="s">
        <v>144</v>
      </c>
      <c r="C5" s="2">
        <f>1500*1500/(E2^2)</f>
        <v>9000000</v>
      </c>
      <c r="D5" s="1" t="s">
        <v>145</v>
      </c>
      <c r="E5" s="2">
        <f>1500*1500*400/(E2^3)</f>
        <v>7200000000</v>
      </c>
    </row>
    <row r="6" spans="1:16" s="7" customFormat="1" x14ac:dyDescent="0.6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65">
      <c r="A7" s="11" t="s">
        <v>68</v>
      </c>
      <c r="B7" s="11" t="s">
        <v>78</v>
      </c>
      <c r="C7" s="11">
        <v>0</v>
      </c>
      <c r="D7" s="7" t="s">
        <v>116</v>
      </c>
      <c r="E7" s="7">
        <v>0</v>
      </c>
      <c r="F7" s="11"/>
      <c r="G7" s="11"/>
      <c r="H7" s="11"/>
      <c r="I7" s="11"/>
      <c r="J7" s="11"/>
      <c r="K7" s="11"/>
      <c r="L7" s="11"/>
      <c r="M7" s="11"/>
      <c r="N7" s="11"/>
      <c r="O7" s="11"/>
    </row>
    <row r="8" spans="1:16" s="7" customFormat="1" x14ac:dyDescent="0.65">
      <c r="A8" s="11" t="s">
        <v>100</v>
      </c>
      <c r="B8" s="11" t="s">
        <v>160</v>
      </c>
      <c r="C8" s="12">
        <v>0</v>
      </c>
      <c r="D8" s="11" t="s">
        <v>115</v>
      </c>
      <c r="E8" s="12">
        <v>0</v>
      </c>
      <c r="F8" s="11" t="s">
        <v>159</v>
      </c>
      <c r="G8" s="12">
        <v>0</v>
      </c>
      <c r="H8" s="11"/>
      <c r="I8" s="11"/>
      <c r="J8" s="11"/>
      <c r="K8" s="11"/>
      <c r="L8" s="11"/>
      <c r="M8" s="11"/>
      <c r="N8" s="11"/>
      <c r="O8" s="11"/>
    </row>
    <row r="9" spans="1:16" s="7" customFormat="1" x14ac:dyDescent="0.65">
      <c r="A9" s="11" t="s">
        <v>150</v>
      </c>
      <c r="B9" s="11" t="s">
        <v>11</v>
      </c>
      <c r="C9" s="12"/>
      <c r="D9" s="11"/>
      <c r="E9" s="12"/>
      <c r="F9" s="11"/>
      <c r="G9" s="12"/>
      <c r="H9" s="11"/>
      <c r="I9" s="11"/>
      <c r="J9" s="11"/>
      <c r="K9" s="11"/>
      <c r="L9" s="11"/>
      <c r="M9" s="11"/>
      <c r="N9" s="11"/>
      <c r="O9" s="11"/>
    </row>
    <row r="10" spans="1:16" x14ac:dyDescent="0.65">
      <c r="A10" s="15" t="s">
        <v>136</v>
      </c>
    </row>
    <row r="11" spans="1:16" x14ac:dyDescent="0.65">
      <c r="A11" s="1" t="s">
        <v>148</v>
      </c>
      <c r="B11" s="1" t="s">
        <v>146</v>
      </c>
      <c r="C11" s="2">
        <f>1500*400/E2^2</f>
        <v>2400000</v>
      </c>
      <c r="D11" s="1" t="s">
        <v>147</v>
      </c>
      <c r="E11" s="1">
        <f>1500*400*1000/E2^3</f>
        <v>4800000000</v>
      </c>
    </row>
    <row r="12" spans="1:16" s="7" customFormat="1" x14ac:dyDescent="0.65">
      <c r="A12" s="11" t="s">
        <v>133</v>
      </c>
      <c r="B12" s="11" t="s">
        <v>160</v>
      </c>
      <c r="C12" s="12">
        <v>0</v>
      </c>
      <c r="D12" s="11" t="s">
        <v>115</v>
      </c>
      <c r="E12" s="12">
        <v>0</v>
      </c>
      <c r="F12" s="11" t="s">
        <v>159</v>
      </c>
      <c r="G12" s="12">
        <v>0</v>
      </c>
      <c r="H12" s="7" t="s">
        <v>151</v>
      </c>
      <c r="I12" s="7">
        <v>0</v>
      </c>
      <c r="J12" s="7" t="s">
        <v>152</v>
      </c>
      <c r="K12" s="7">
        <v>0</v>
      </c>
      <c r="L12" s="11" t="s">
        <v>158</v>
      </c>
      <c r="M12" s="11">
        <v>0</v>
      </c>
      <c r="N12" s="11"/>
      <c r="O12" s="11"/>
    </row>
    <row r="13" spans="1:16" s="7" customFormat="1" x14ac:dyDescent="0.65">
      <c r="A13" s="11" t="s">
        <v>134</v>
      </c>
      <c r="B13" s="11"/>
      <c r="C13" s="12"/>
      <c r="D13" s="11"/>
      <c r="E13" s="12"/>
      <c r="F13" s="11"/>
      <c r="G13" s="12"/>
      <c r="H13" s="11"/>
      <c r="I13" s="11"/>
      <c r="J13" s="11"/>
      <c r="K13" s="11"/>
      <c r="L13" s="11"/>
      <c r="M13" s="11"/>
      <c r="N13" s="11"/>
      <c r="O13" s="11"/>
    </row>
    <row r="14" spans="1:16" s="7" customFormat="1" x14ac:dyDescent="0.65">
      <c r="A14" s="11" t="s">
        <v>137</v>
      </c>
      <c r="B14" s="11" t="s">
        <v>160</v>
      </c>
      <c r="C14" s="12">
        <v>0.5</v>
      </c>
      <c r="D14" s="11" t="s">
        <v>115</v>
      </c>
      <c r="E14" s="12">
        <v>0.5</v>
      </c>
      <c r="F14" s="11" t="s">
        <v>159</v>
      </c>
      <c r="G14" s="12">
        <v>0.5</v>
      </c>
      <c r="H14" s="11" t="s">
        <v>158</v>
      </c>
      <c r="I14" s="7">
        <v>0.5</v>
      </c>
      <c r="J14" s="11"/>
      <c r="L14" s="11"/>
      <c r="N14" s="11"/>
      <c r="P14" s="11"/>
    </row>
    <row r="15" spans="1:16" s="7" customFormat="1" x14ac:dyDescent="0.65">
      <c r="A15" s="11" t="s">
        <v>141</v>
      </c>
      <c r="B15" s="11" t="s">
        <v>11</v>
      </c>
      <c r="C15" s="12"/>
      <c r="D15" s="11"/>
      <c r="E15" s="11"/>
      <c r="F15" s="11"/>
      <c r="G15" s="11"/>
      <c r="H15" s="11"/>
      <c r="I15" s="11"/>
      <c r="J15" s="11"/>
      <c r="K15" s="11"/>
      <c r="L15" s="11"/>
      <c r="M15" s="11"/>
      <c r="N15" s="11"/>
      <c r="O15" s="11"/>
    </row>
    <row r="16" spans="1:16" s="7" customFormat="1" x14ac:dyDescent="0.65">
      <c r="A16" s="11" t="s">
        <v>11</v>
      </c>
      <c r="B16" s="11"/>
      <c r="C16" s="12"/>
      <c r="D16" s="11"/>
      <c r="E16" s="11"/>
      <c r="F16" s="11"/>
      <c r="G16" s="11"/>
      <c r="H16" s="11"/>
      <c r="I16" s="11"/>
      <c r="J16" s="11"/>
      <c r="K16" s="11"/>
      <c r="L16" s="11"/>
      <c r="M16" s="11"/>
      <c r="N16" s="11"/>
      <c r="O16" s="11"/>
    </row>
    <row r="17" spans="1:15" s="7" customFormat="1" x14ac:dyDescent="0.65">
      <c r="A17" s="13" t="s">
        <v>12</v>
      </c>
      <c r="B17" s="11"/>
      <c r="C17" s="12"/>
      <c r="D17" s="11"/>
      <c r="E17" s="11"/>
      <c r="F17" s="11"/>
      <c r="G17" s="11"/>
      <c r="H17" s="11"/>
      <c r="I17" s="11"/>
      <c r="J17" s="11"/>
      <c r="K17" s="11"/>
      <c r="L17" s="11"/>
      <c r="M17" s="11"/>
      <c r="N17" s="11"/>
      <c r="O17" s="11"/>
    </row>
    <row r="18" spans="1:15" x14ac:dyDescent="0.65">
      <c r="A18" s="1" t="s">
        <v>142</v>
      </c>
      <c r="B18" s="1" t="s">
        <v>11</v>
      </c>
    </row>
    <row r="19" spans="1:15" x14ac:dyDescent="0.65">
      <c r="A19" s="1" t="s">
        <v>143</v>
      </c>
      <c r="B19" s="1" t="s">
        <v>11</v>
      </c>
    </row>
    <row r="20" spans="1:15" s="7" customFormat="1" x14ac:dyDescent="0.65">
      <c r="A20" s="11" t="s">
        <v>13</v>
      </c>
      <c r="B20" s="11" t="s">
        <v>14</v>
      </c>
      <c r="C20" s="12">
        <v>1</v>
      </c>
      <c r="D20" s="7" t="s">
        <v>161</v>
      </c>
      <c r="E20" s="7">
        <v>0.5</v>
      </c>
    </row>
    <row r="21" spans="1:15" s="7" customFormat="1" x14ac:dyDescent="0.65">
      <c r="A21" s="11" t="s">
        <v>13</v>
      </c>
      <c r="B21" s="11" t="s">
        <v>19</v>
      </c>
      <c r="C21" s="7">
        <v>0.5</v>
      </c>
      <c r="D21" s="11" t="s">
        <v>15</v>
      </c>
      <c r="E21" s="12">
        <v>1</v>
      </c>
      <c r="F21" s="11" t="s">
        <v>162</v>
      </c>
      <c r="G21" s="7">
        <v>0.5</v>
      </c>
      <c r="H21" s="11"/>
      <c r="I21" s="11"/>
      <c r="J21" s="11"/>
      <c r="K21" s="11"/>
      <c r="L21" s="11"/>
      <c r="M21" s="11"/>
      <c r="N21" s="11"/>
      <c r="O21" s="11"/>
    </row>
    <row r="22" spans="1:15" s="7" customFormat="1" x14ac:dyDescent="0.65">
      <c r="A22" s="11" t="s">
        <v>13</v>
      </c>
      <c r="B22" s="11" t="s">
        <v>71</v>
      </c>
      <c r="C22" s="12">
        <v>0</v>
      </c>
      <c r="D22" s="7" t="s">
        <v>60</v>
      </c>
      <c r="E22" s="7">
        <v>0.5</v>
      </c>
      <c r="F22" s="11" t="s">
        <v>16</v>
      </c>
      <c r="G22" s="12">
        <v>1</v>
      </c>
      <c r="H22" s="7" t="s">
        <v>163</v>
      </c>
      <c r="I22" s="7">
        <v>0.5</v>
      </c>
      <c r="J22" s="11"/>
      <c r="K22" s="11"/>
      <c r="L22" s="11"/>
      <c r="M22" s="11"/>
      <c r="N22" s="11"/>
      <c r="O22" s="11"/>
    </row>
    <row r="23" spans="1:15" s="7" customFormat="1" x14ac:dyDescent="0.65">
      <c r="A23" s="11" t="s">
        <v>13</v>
      </c>
      <c r="B23" s="11" t="s">
        <v>20</v>
      </c>
      <c r="C23" s="12">
        <v>0</v>
      </c>
      <c r="D23" s="7" t="s">
        <v>72</v>
      </c>
      <c r="E23" s="7">
        <v>0</v>
      </c>
      <c r="F23" s="7" t="s">
        <v>74</v>
      </c>
      <c r="G23" s="7">
        <v>0.5</v>
      </c>
      <c r="H23" s="11" t="s">
        <v>17</v>
      </c>
      <c r="I23" s="12">
        <v>1</v>
      </c>
      <c r="J23" s="7" t="s">
        <v>164</v>
      </c>
      <c r="K23" s="7">
        <v>0.5</v>
      </c>
      <c r="L23" s="11"/>
      <c r="M23" s="11"/>
      <c r="N23" s="11"/>
      <c r="O23" s="11"/>
    </row>
    <row r="24" spans="1:15" s="7" customFormat="1" x14ac:dyDescent="0.65">
      <c r="A24" s="11" t="s">
        <v>13</v>
      </c>
      <c r="B24" s="11" t="s">
        <v>70</v>
      </c>
      <c r="C24" s="12">
        <v>0</v>
      </c>
      <c r="D24" s="7" t="s">
        <v>73</v>
      </c>
      <c r="E24" s="7">
        <v>0</v>
      </c>
      <c r="F24" s="7" t="s">
        <v>21</v>
      </c>
      <c r="G24" s="7">
        <v>0</v>
      </c>
      <c r="H24" s="7" t="s">
        <v>75</v>
      </c>
      <c r="I24" s="7">
        <v>0.5</v>
      </c>
      <c r="J24" s="11" t="s">
        <v>18</v>
      </c>
      <c r="K24" s="12">
        <v>1</v>
      </c>
      <c r="M24" s="11"/>
      <c r="N24" s="11"/>
      <c r="O24" s="11"/>
    </row>
    <row r="25" spans="1:15" s="7" customFormat="1" x14ac:dyDescent="0.65">
      <c r="A25" s="11" t="s">
        <v>11</v>
      </c>
      <c r="B25" s="11"/>
      <c r="C25" s="12"/>
      <c r="J25" s="11"/>
      <c r="K25" s="12"/>
      <c r="M25" s="11"/>
      <c r="N25" s="11"/>
      <c r="O25" s="11"/>
    </row>
    <row r="26" spans="1:15" s="7" customFormat="1" x14ac:dyDescent="0.65">
      <c r="A26" s="11" t="s">
        <v>11</v>
      </c>
      <c r="B26" s="11"/>
      <c r="C26" s="12"/>
      <c r="J26" s="11"/>
      <c r="K26" s="12"/>
      <c r="M26" s="11"/>
      <c r="N26" s="11"/>
      <c r="O26" s="11"/>
    </row>
    <row r="27" spans="1:15" x14ac:dyDescent="0.65">
      <c r="A27" s="11" t="s">
        <v>11</v>
      </c>
    </row>
    <row r="28" spans="1:15" s="7" customFormat="1" x14ac:dyDescent="0.65">
      <c r="A28" s="13" t="s">
        <v>90</v>
      </c>
      <c r="B28" s="11"/>
      <c r="C28" s="12"/>
      <c r="D28" s="11"/>
      <c r="E28" s="11"/>
      <c r="F28" s="11"/>
      <c r="G28" s="11"/>
      <c r="H28" s="11"/>
      <c r="I28" s="11"/>
      <c r="J28" s="11"/>
      <c r="K28" s="11"/>
      <c r="L28" s="11"/>
      <c r="M28" s="11"/>
      <c r="N28" s="11"/>
      <c r="O28" s="11"/>
    </row>
    <row r="29" spans="1:15" s="7" customFormat="1" x14ac:dyDescent="0.65">
      <c r="A29" s="11" t="s">
        <v>31</v>
      </c>
      <c r="B29" s="11" t="s">
        <v>6</v>
      </c>
      <c r="C29" s="12" t="s">
        <v>7</v>
      </c>
      <c r="D29" s="11" t="s">
        <v>8</v>
      </c>
      <c r="E29" s="11" t="s">
        <v>9</v>
      </c>
      <c r="F29" s="11" t="s">
        <v>10</v>
      </c>
      <c r="G29" s="11"/>
      <c r="H29" s="11"/>
      <c r="I29" s="11"/>
      <c r="J29" s="11"/>
      <c r="K29" s="11"/>
      <c r="L29" s="11"/>
      <c r="M29" s="11"/>
      <c r="N29" s="11"/>
      <c r="O29" s="11"/>
    </row>
    <row r="30" spans="1:15" s="7" customFormat="1" x14ac:dyDescent="0.65">
      <c r="A30" s="11" t="s">
        <v>32</v>
      </c>
      <c r="B30" s="11" t="s">
        <v>6</v>
      </c>
      <c r="C30" s="12">
        <v>0.3</v>
      </c>
      <c r="D30" s="11" t="s">
        <v>7</v>
      </c>
      <c r="E30" s="12">
        <v>0</v>
      </c>
      <c r="F30" s="11" t="s">
        <v>8</v>
      </c>
      <c r="G30" s="12">
        <v>0</v>
      </c>
      <c r="H30" s="11" t="s">
        <v>9</v>
      </c>
      <c r="I30" s="12">
        <v>0</v>
      </c>
      <c r="J30" s="11" t="s">
        <v>10</v>
      </c>
      <c r="K30" s="12">
        <v>0.1</v>
      </c>
      <c r="L30" s="11"/>
      <c r="M30" s="11"/>
      <c r="N30" s="11"/>
      <c r="O30" s="11"/>
    </row>
    <row r="31" spans="1:15" s="7" customFormat="1" x14ac:dyDescent="0.65">
      <c r="A31" s="11" t="s">
        <v>138</v>
      </c>
      <c r="B31" s="11" t="s">
        <v>6</v>
      </c>
      <c r="C31" s="12">
        <v>0</v>
      </c>
      <c r="D31" s="11" t="s">
        <v>7</v>
      </c>
      <c r="E31" s="12">
        <v>0</v>
      </c>
      <c r="F31" s="11" t="s">
        <v>8</v>
      </c>
      <c r="G31" s="12">
        <v>0</v>
      </c>
      <c r="H31" s="11" t="s">
        <v>9</v>
      </c>
      <c r="I31" s="12">
        <v>0</v>
      </c>
      <c r="J31" s="11" t="s">
        <v>10</v>
      </c>
      <c r="K31" s="12">
        <v>0.1</v>
      </c>
      <c r="L31" s="11"/>
      <c r="M31" s="11"/>
      <c r="N31" s="11"/>
      <c r="O31" s="11"/>
    </row>
    <row r="32" spans="1:15" s="7" customFormat="1" x14ac:dyDescent="0.65">
      <c r="A32" s="11" t="s">
        <v>139</v>
      </c>
      <c r="B32" s="11" t="s">
        <v>6</v>
      </c>
      <c r="C32" s="12">
        <v>-1</v>
      </c>
      <c r="D32" s="11" t="s">
        <v>7</v>
      </c>
      <c r="E32" s="12">
        <v>-1</v>
      </c>
      <c r="F32" s="11" t="s">
        <v>8</v>
      </c>
      <c r="G32" s="12">
        <v>-1</v>
      </c>
      <c r="H32" s="11" t="s">
        <v>9</v>
      </c>
      <c r="I32" s="12">
        <v>-1</v>
      </c>
      <c r="J32" s="11" t="s">
        <v>10</v>
      </c>
      <c r="K32" s="12">
        <v>-0.1</v>
      </c>
      <c r="L32" s="11"/>
      <c r="M32" s="11"/>
      <c r="N32" s="11"/>
      <c r="O32" s="11"/>
    </row>
    <row r="33" spans="1:16" s="7" customFormat="1" x14ac:dyDescent="0.65">
      <c r="A33" s="11" t="s">
        <v>65</v>
      </c>
      <c r="B33" s="11" t="s">
        <v>6</v>
      </c>
      <c r="C33" s="12">
        <v>0</v>
      </c>
      <c r="D33" s="11" t="s">
        <v>7</v>
      </c>
      <c r="E33" s="11">
        <v>0</v>
      </c>
      <c r="F33" s="11" t="s">
        <v>8</v>
      </c>
      <c r="G33" s="11">
        <v>0</v>
      </c>
      <c r="H33" s="11" t="s">
        <v>9</v>
      </c>
      <c r="I33" s="11">
        <v>0</v>
      </c>
      <c r="J33" s="11" t="s">
        <v>10</v>
      </c>
      <c r="K33" s="11">
        <v>0.5</v>
      </c>
      <c r="L33" s="11"/>
      <c r="M33" s="11"/>
      <c r="N33" s="11"/>
      <c r="O33" s="11"/>
    </row>
    <row r="34" spans="1:16" s="7" customFormat="1" x14ac:dyDescent="0.65">
      <c r="A34" s="11" t="s">
        <v>107</v>
      </c>
      <c r="B34" s="11" t="s">
        <v>6</v>
      </c>
      <c r="C34" s="12" t="s">
        <v>165</v>
      </c>
      <c r="D34" s="11" t="s">
        <v>7</v>
      </c>
      <c r="E34" s="11" t="s">
        <v>112</v>
      </c>
      <c r="F34" s="11" t="s">
        <v>8</v>
      </c>
      <c r="G34" s="11" t="s">
        <v>166</v>
      </c>
      <c r="H34" s="11" t="s">
        <v>9</v>
      </c>
      <c r="I34" s="11" t="s">
        <v>167</v>
      </c>
      <c r="J34" s="11" t="s">
        <v>10</v>
      </c>
      <c r="K34" s="11" t="s">
        <v>111</v>
      </c>
      <c r="L34" s="11"/>
      <c r="M34" s="11"/>
      <c r="N34" s="11"/>
      <c r="O34" s="11"/>
    </row>
    <row r="35" spans="1:16" s="7" customFormat="1" x14ac:dyDescent="0.65">
      <c r="A35" s="11" t="s">
        <v>22</v>
      </c>
      <c r="B35" s="11" t="s">
        <v>158</v>
      </c>
      <c r="C35" s="11" t="s">
        <v>88</v>
      </c>
      <c r="D35" s="11" t="s">
        <v>160</v>
      </c>
      <c r="E35" s="11" t="s">
        <v>159</v>
      </c>
      <c r="F35" s="11" t="s">
        <v>151</v>
      </c>
      <c r="G35" s="11"/>
      <c r="H35" s="11"/>
      <c r="I35" s="11"/>
      <c r="P35" s="11"/>
    </row>
    <row r="36" spans="1:16" s="7" customFormat="1" x14ac:dyDescent="0.65">
      <c r="A36" s="11" t="s">
        <v>26</v>
      </c>
      <c r="B36" s="11" t="s">
        <v>116</v>
      </c>
      <c r="C36" s="11" t="s">
        <v>58</v>
      </c>
      <c r="D36" s="11" t="s">
        <v>78</v>
      </c>
      <c r="E36" s="11" t="s">
        <v>121</v>
      </c>
      <c r="F36" s="11" t="s">
        <v>30</v>
      </c>
      <c r="G36" s="11"/>
      <c r="H36" s="11"/>
      <c r="I36" s="11"/>
      <c r="J36" s="11"/>
      <c r="K36" s="11"/>
      <c r="L36" s="11"/>
      <c r="M36" s="11"/>
      <c r="N36" s="11"/>
      <c r="O36" s="11"/>
    </row>
    <row r="37" spans="1:16" s="7" customFormat="1" x14ac:dyDescent="0.65">
      <c r="A37" s="11" t="s">
        <v>33</v>
      </c>
      <c r="B37" s="11" t="s">
        <v>158</v>
      </c>
      <c r="C37" s="11" t="s">
        <v>120</v>
      </c>
      <c r="D37" s="11" t="s">
        <v>87</v>
      </c>
      <c r="F37" s="11"/>
      <c r="G37" s="11"/>
      <c r="H37" s="11"/>
      <c r="I37" s="11"/>
      <c r="J37" s="11"/>
      <c r="K37" s="11"/>
      <c r="L37" s="11"/>
      <c r="M37" s="11"/>
      <c r="N37" s="11"/>
      <c r="O37" s="11"/>
    </row>
    <row r="38" spans="1:16" s="7" customFormat="1" x14ac:dyDescent="0.65">
      <c r="A38" s="11" t="s">
        <v>33</v>
      </c>
      <c r="B38" s="11" t="s">
        <v>160</v>
      </c>
      <c r="C38" s="11" t="s">
        <v>120</v>
      </c>
      <c r="D38" s="11"/>
      <c r="E38" s="11"/>
      <c r="G38" s="11"/>
      <c r="H38" s="11"/>
      <c r="I38" s="11"/>
      <c r="J38" s="11"/>
      <c r="K38" s="11"/>
      <c r="L38" s="11"/>
      <c r="M38" s="11"/>
      <c r="N38" s="11"/>
      <c r="O38" s="11"/>
    </row>
    <row r="39" spans="1:16" s="7" customFormat="1" x14ac:dyDescent="0.65">
      <c r="A39" s="11" t="s">
        <v>33</v>
      </c>
      <c r="B39" s="11" t="s">
        <v>115</v>
      </c>
      <c r="C39" s="12" t="s">
        <v>86</v>
      </c>
      <c r="D39" s="11"/>
      <c r="F39" s="11"/>
      <c r="G39" s="11"/>
      <c r="H39" s="11"/>
      <c r="I39" s="11"/>
      <c r="J39" s="11"/>
      <c r="K39" s="11"/>
      <c r="L39" s="11"/>
      <c r="M39" s="11"/>
      <c r="N39" s="11"/>
      <c r="O39" s="11"/>
    </row>
    <row r="40" spans="1:16" s="7" customFormat="1" x14ac:dyDescent="0.65">
      <c r="A40" s="11" t="s">
        <v>33</v>
      </c>
      <c r="B40" s="11" t="s">
        <v>88</v>
      </c>
      <c r="C40" s="11" t="s">
        <v>86</v>
      </c>
      <c r="D40" s="11" t="s">
        <v>87</v>
      </c>
      <c r="E40" s="11"/>
      <c r="F40" s="11"/>
      <c r="G40" s="11"/>
      <c r="H40" s="11"/>
      <c r="I40" s="11"/>
      <c r="J40" s="11"/>
      <c r="K40" s="11"/>
      <c r="L40" s="11"/>
      <c r="M40" s="11"/>
      <c r="N40" s="11"/>
      <c r="O40" s="11"/>
    </row>
    <row r="41" spans="1:16" s="7" customFormat="1" x14ac:dyDescent="0.65">
      <c r="A41" s="11" t="s">
        <v>33</v>
      </c>
      <c r="B41" s="11" t="s">
        <v>159</v>
      </c>
      <c r="C41" s="11" t="s">
        <v>85</v>
      </c>
      <c r="D41" s="11"/>
      <c r="E41" s="11"/>
      <c r="F41" s="11"/>
      <c r="G41" s="11"/>
      <c r="H41" s="11"/>
      <c r="I41" s="11"/>
      <c r="J41" s="11"/>
      <c r="K41" s="11"/>
      <c r="L41" s="11"/>
      <c r="M41" s="11"/>
      <c r="N41" s="11"/>
      <c r="O41" s="11"/>
    </row>
    <row r="42" spans="1:16" s="7" customFormat="1" x14ac:dyDescent="0.65">
      <c r="A42" s="11" t="s">
        <v>33</v>
      </c>
      <c r="B42" s="11" t="s">
        <v>121</v>
      </c>
      <c r="C42" s="11" t="s">
        <v>87</v>
      </c>
      <c r="E42" s="11"/>
      <c r="F42" s="11"/>
      <c r="G42" s="11"/>
      <c r="H42" s="11"/>
      <c r="I42" s="11"/>
      <c r="J42" s="11"/>
      <c r="K42" s="11"/>
      <c r="L42" s="11"/>
      <c r="M42" s="11"/>
      <c r="N42" s="11"/>
      <c r="O42" s="11"/>
    </row>
    <row r="43" spans="1:16" s="7" customFormat="1" x14ac:dyDescent="0.65">
      <c r="A43" s="11" t="s">
        <v>33</v>
      </c>
      <c r="B43" s="11" t="s">
        <v>30</v>
      </c>
      <c r="C43" s="12" t="s">
        <v>87</v>
      </c>
      <c r="D43" s="11"/>
      <c r="E43" s="11"/>
      <c r="F43" s="11"/>
      <c r="G43" s="11"/>
      <c r="H43" s="11"/>
      <c r="I43" s="11"/>
      <c r="J43" s="11"/>
      <c r="K43" s="11"/>
      <c r="L43" s="11"/>
      <c r="M43" s="11"/>
      <c r="N43" s="11"/>
      <c r="O43" s="11"/>
    </row>
    <row r="44" spans="1:16" s="7" customFormat="1" x14ac:dyDescent="0.65">
      <c r="A44" s="7" t="s">
        <v>33</v>
      </c>
      <c r="B44" s="11" t="s">
        <v>151</v>
      </c>
      <c r="C44" s="11" t="s">
        <v>155</v>
      </c>
      <c r="D44" s="11" t="s">
        <v>153</v>
      </c>
      <c r="E44" s="11" t="s">
        <v>154</v>
      </c>
      <c r="F44" s="11"/>
      <c r="G44" s="11"/>
      <c r="H44" s="11"/>
      <c r="I44" s="11"/>
      <c r="J44" s="11"/>
      <c r="K44" s="11"/>
      <c r="L44" s="11"/>
      <c r="M44" s="11"/>
      <c r="N44" s="11"/>
      <c r="O44" s="11"/>
    </row>
    <row r="45" spans="1:16" s="7" customFormat="1" x14ac:dyDescent="0.65">
      <c r="A45" s="11" t="s">
        <v>33</v>
      </c>
      <c r="B45" s="11" t="s">
        <v>152</v>
      </c>
      <c r="C45" s="11" t="s">
        <v>156</v>
      </c>
      <c r="D45" s="11" t="s">
        <v>157</v>
      </c>
      <c r="E45" s="11"/>
      <c r="F45" s="11"/>
      <c r="G45" s="11"/>
      <c r="H45" s="11"/>
      <c r="I45" s="11"/>
      <c r="J45" s="11"/>
      <c r="K45" s="11"/>
      <c r="L45" s="11"/>
      <c r="M45" s="11"/>
      <c r="N45" s="11"/>
      <c r="O45" s="11"/>
    </row>
    <row r="46" spans="1:16" s="7" customFormat="1" x14ac:dyDescent="0.65">
      <c r="A46" s="11" t="s">
        <v>33</v>
      </c>
      <c r="B46" s="11" t="s">
        <v>116</v>
      </c>
      <c r="D46" s="11"/>
      <c r="E46" s="12"/>
      <c r="F46" s="11"/>
      <c r="G46" s="11"/>
      <c r="H46" s="11"/>
      <c r="I46" s="11"/>
      <c r="J46" s="11"/>
      <c r="K46" s="11"/>
      <c r="L46" s="11"/>
      <c r="M46" s="11"/>
      <c r="N46" s="11"/>
      <c r="O46" s="11"/>
    </row>
    <row r="47" spans="1:16" s="7" customFormat="1" x14ac:dyDescent="0.65">
      <c r="A47" s="11" t="s">
        <v>33</v>
      </c>
      <c r="B47" s="11" t="s">
        <v>58</v>
      </c>
      <c r="C47" s="11"/>
      <c r="F47" s="11"/>
      <c r="G47" s="11"/>
      <c r="H47" s="11"/>
      <c r="I47" s="11"/>
      <c r="J47" s="11"/>
      <c r="K47" s="11"/>
      <c r="L47" s="11"/>
      <c r="M47" s="11"/>
      <c r="N47" s="11"/>
      <c r="O47" s="11"/>
    </row>
    <row r="48" spans="1:16" s="7" customFormat="1" x14ac:dyDescent="0.65">
      <c r="A48" s="11" t="s">
        <v>33</v>
      </c>
      <c r="B48" s="11" t="s">
        <v>78</v>
      </c>
      <c r="C48" s="11"/>
      <c r="F48" s="11"/>
      <c r="G48" s="11"/>
      <c r="H48" s="11"/>
      <c r="I48" s="11"/>
      <c r="J48" s="11"/>
      <c r="K48" s="11"/>
      <c r="L48" s="11"/>
      <c r="M48" s="11"/>
      <c r="N48" s="11"/>
      <c r="O48" s="11"/>
    </row>
    <row r="49" spans="1:16" s="7" customFormat="1" x14ac:dyDescent="0.65">
      <c r="A49" s="11" t="s">
        <v>11</v>
      </c>
      <c r="B49" s="11"/>
      <c r="C49" s="11"/>
      <c r="F49" s="11"/>
      <c r="G49" s="11"/>
      <c r="H49" s="11"/>
      <c r="I49" s="11"/>
      <c r="J49" s="11"/>
      <c r="K49" s="11"/>
      <c r="L49" s="11"/>
      <c r="M49" s="11"/>
      <c r="N49" s="11"/>
      <c r="O49" s="11"/>
    </row>
    <row r="50" spans="1:16" s="7" customFormat="1" x14ac:dyDescent="0.65">
      <c r="A50" s="11" t="s">
        <v>11</v>
      </c>
      <c r="B50" s="11"/>
      <c r="C50" s="11"/>
      <c r="F50" s="11"/>
      <c r="G50" s="11"/>
      <c r="H50" s="11"/>
      <c r="I50" s="11"/>
      <c r="J50" s="11"/>
      <c r="K50" s="11"/>
      <c r="L50" s="11"/>
      <c r="M50" s="11"/>
      <c r="N50" s="11"/>
      <c r="O50" s="11"/>
    </row>
    <row r="51" spans="1:16" x14ac:dyDescent="0.65">
      <c r="A51" s="1" t="s">
        <v>11</v>
      </c>
    </row>
    <row r="52" spans="1:16" x14ac:dyDescent="0.65">
      <c r="A52" s="1" t="s">
        <v>11</v>
      </c>
    </row>
    <row r="53" spans="1:16" s="7" customFormat="1" x14ac:dyDescent="0.65">
      <c r="A53" s="11" t="s">
        <v>11</v>
      </c>
      <c r="B53" s="11"/>
      <c r="C53" s="12"/>
      <c r="D53" s="11"/>
      <c r="E53" s="11"/>
      <c r="F53" s="11"/>
      <c r="G53" s="11"/>
      <c r="H53" s="11"/>
      <c r="I53" s="11"/>
      <c r="J53" s="11"/>
      <c r="K53" s="11"/>
      <c r="L53" s="11"/>
      <c r="M53" s="11"/>
      <c r="N53" s="11"/>
      <c r="O53" s="11"/>
    </row>
    <row r="54" spans="1:16" s="7" customFormat="1" x14ac:dyDescent="0.65">
      <c r="A54" s="11" t="s">
        <v>54</v>
      </c>
      <c r="B54" s="11" t="s">
        <v>55</v>
      </c>
      <c r="C54" s="12" t="s">
        <v>116</v>
      </c>
      <c r="D54" s="11" t="s">
        <v>56</v>
      </c>
      <c r="E54" s="11" t="s">
        <v>121</v>
      </c>
      <c r="F54" s="11" t="s">
        <v>57</v>
      </c>
      <c r="G54" s="11" t="s">
        <v>159</v>
      </c>
      <c r="H54" s="11"/>
      <c r="I54" s="11"/>
      <c r="J54" s="11"/>
      <c r="K54" s="11"/>
      <c r="L54" s="11"/>
      <c r="M54" s="11"/>
      <c r="N54" s="11"/>
      <c r="O54" s="11"/>
    </row>
    <row r="55" spans="1:16" s="7" customFormat="1" x14ac:dyDescent="0.65">
      <c r="A55" s="13" t="s">
        <v>52</v>
      </c>
      <c r="B55" s="11"/>
      <c r="C55" s="12"/>
      <c r="D55" s="11"/>
      <c r="E55" s="11"/>
      <c r="F55" s="11"/>
      <c r="G55" s="11"/>
      <c r="H55" s="11"/>
      <c r="I55" s="11"/>
      <c r="J55" s="11"/>
      <c r="K55" s="11"/>
      <c r="L55" s="11"/>
      <c r="M55" s="11"/>
      <c r="N55" s="11"/>
      <c r="O55" s="11"/>
    </row>
    <row r="56" spans="1:16" s="7" customFormat="1" x14ac:dyDescent="0.65">
      <c r="A56" s="11" t="str">
        <f>IF(I2&lt;&gt;0,"freezeDry","KIND")</f>
        <v>KIND</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65">
      <c r="A57" s="11" t="s">
        <v>41</v>
      </c>
      <c r="B57" s="11" t="s">
        <v>48</v>
      </c>
      <c r="C57" s="12" t="s">
        <v>42</v>
      </c>
      <c r="D57" s="11">
        <v>3000000</v>
      </c>
      <c r="E57" s="11" t="s">
        <v>96</v>
      </c>
      <c r="F57" s="11">
        <v>0</v>
      </c>
      <c r="G57" s="11" t="s">
        <v>94</v>
      </c>
      <c r="H57" s="11">
        <v>30</v>
      </c>
      <c r="I57" s="11" t="s">
        <v>95</v>
      </c>
      <c r="J57" s="11">
        <v>2</v>
      </c>
      <c r="K57" s="11"/>
      <c r="L57" s="11"/>
      <c r="M57" s="11"/>
      <c r="N57" s="11"/>
      <c r="O57" s="11"/>
    </row>
    <row r="58" spans="1:16" s="7" customFormat="1" x14ac:dyDescent="0.65">
      <c r="A58" s="11" t="s">
        <v>41</v>
      </c>
      <c r="B58" s="11" t="s">
        <v>49</v>
      </c>
      <c r="C58" s="12" t="s">
        <v>6</v>
      </c>
      <c r="D58" s="11">
        <v>1</v>
      </c>
      <c r="E58" s="11"/>
      <c r="F58" s="11"/>
      <c r="G58" s="11"/>
      <c r="H58" s="11"/>
      <c r="I58" s="11"/>
      <c r="J58" s="11"/>
      <c r="K58" s="11"/>
      <c r="L58" s="11"/>
      <c r="M58" s="11"/>
      <c r="N58" s="11"/>
      <c r="O58" s="11"/>
    </row>
    <row r="59" spans="1:16" s="7" customFormat="1" x14ac:dyDescent="0.65">
      <c r="A59" s="11" t="s">
        <v>41</v>
      </c>
      <c r="B59" s="11" t="s">
        <v>50</v>
      </c>
      <c r="C59" s="12" t="s">
        <v>116</v>
      </c>
      <c r="D59" s="11">
        <v>1</v>
      </c>
      <c r="E59" s="11" t="s">
        <v>58</v>
      </c>
      <c r="F59" s="11">
        <v>0</v>
      </c>
      <c r="G59" s="11" t="s">
        <v>78</v>
      </c>
      <c r="H59" s="11">
        <v>1E-4</v>
      </c>
      <c r="I59" s="7" t="s">
        <v>121</v>
      </c>
      <c r="J59" s="7">
        <v>1</v>
      </c>
      <c r="K59" s="11"/>
      <c r="L59" s="11"/>
      <c r="M59" s="11"/>
      <c r="N59" s="11"/>
      <c r="O59" s="11"/>
    </row>
    <row r="60" spans="1:16" s="7" customFormat="1" x14ac:dyDescent="0.65">
      <c r="A60" s="11" t="s">
        <v>41</v>
      </c>
      <c r="B60" s="11" t="s">
        <v>51</v>
      </c>
      <c r="C60" s="11" t="s">
        <v>158</v>
      </c>
      <c r="D60" s="11">
        <v>0</v>
      </c>
      <c r="E60" s="11" t="s">
        <v>159</v>
      </c>
      <c r="F60" s="11">
        <v>0</v>
      </c>
      <c r="G60" s="11" t="s">
        <v>160</v>
      </c>
      <c r="H60" s="11">
        <v>0</v>
      </c>
      <c r="I60" s="11" t="s">
        <v>88</v>
      </c>
      <c r="J60" s="11">
        <v>0</v>
      </c>
      <c r="M60" s="11"/>
      <c r="N60" s="11"/>
      <c r="O60" s="11"/>
      <c r="P60" s="11"/>
    </row>
    <row r="61" spans="1:16" s="7" customFormat="1" x14ac:dyDescent="0.65">
      <c r="A61" s="11" t="s">
        <v>43</v>
      </c>
      <c r="B61" s="11" t="s">
        <v>48</v>
      </c>
      <c r="C61" s="12" t="s">
        <v>42</v>
      </c>
      <c r="D61" s="11">
        <v>1000000</v>
      </c>
      <c r="E61" s="11" t="s">
        <v>96</v>
      </c>
      <c r="F61" s="11">
        <v>0</v>
      </c>
      <c r="G61" s="11" t="s">
        <v>94</v>
      </c>
      <c r="H61" s="11">
        <v>60</v>
      </c>
      <c r="I61" s="11" t="s">
        <v>95</v>
      </c>
      <c r="J61" s="11">
        <v>10</v>
      </c>
      <c r="K61" s="11"/>
      <c r="L61" s="11"/>
      <c r="M61" s="11"/>
      <c r="N61" s="11"/>
      <c r="O61" s="11"/>
    </row>
    <row r="62" spans="1:16" s="7" customFormat="1" x14ac:dyDescent="0.65">
      <c r="A62" s="11" t="s">
        <v>43</v>
      </c>
      <c r="B62" s="11" t="s">
        <v>49</v>
      </c>
      <c r="C62" s="12" t="s">
        <v>7</v>
      </c>
      <c r="D62" s="11">
        <v>1</v>
      </c>
      <c r="E62" s="11"/>
      <c r="F62" s="11"/>
      <c r="G62" s="11"/>
      <c r="H62" s="11"/>
      <c r="I62" s="11"/>
      <c r="J62" s="11"/>
      <c r="K62" s="11"/>
      <c r="L62" s="11"/>
      <c r="M62" s="11"/>
      <c r="N62" s="11"/>
      <c r="O62" s="11"/>
    </row>
    <row r="63" spans="1:16" s="7" customFormat="1" x14ac:dyDescent="0.65">
      <c r="A63" s="11" t="s">
        <v>43</v>
      </c>
      <c r="B63" s="11" t="s">
        <v>50</v>
      </c>
      <c r="C63" s="12" t="s">
        <v>116</v>
      </c>
      <c r="D63" s="11">
        <v>0</v>
      </c>
      <c r="E63" s="11" t="s">
        <v>58</v>
      </c>
      <c r="F63" s="11">
        <v>1</v>
      </c>
      <c r="G63" s="11" t="s">
        <v>78</v>
      </c>
      <c r="H63" s="11">
        <v>1E-4</v>
      </c>
      <c r="I63" s="7" t="s">
        <v>121</v>
      </c>
      <c r="J63" s="7">
        <v>0</v>
      </c>
      <c r="K63" s="11"/>
      <c r="L63" s="11"/>
      <c r="M63" s="11"/>
      <c r="N63" s="11"/>
      <c r="O63" s="11"/>
    </row>
    <row r="64" spans="1:16" s="7" customFormat="1" x14ac:dyDescent="0.65">
      <c r="A64" s="11" t="s">
        <v>43</v>
      </c>
      <c r="B64" s="11" t="s">
        <v>51</v>
      </c>
      <c r="C64" s="11" t="s">
        <v>158</v>
      </c>
      <c r="D64" s="11">
        <v>1</v>
      </c>
      <c r="E64" s="11" t="s">
        <v>159</v>
      </c>
      <c r="F64" s="11">
        <v>1</v>
      </c>
      <c r="G64" s="11" t="s">
        <v>160</v>
      </c>
      <c r="H64" s="11">
        <v>0</v>
      </c>
      <c r="I64" s="11" t="s">
        <v>88</v>
      </c>
      <c r="J64" s="11">
        <v>1</v>
      </c>
      <c r="L64" s="11"/>
      <c r="M64" s="11"/>
      <c r="N64" s="11"/>
      <c r="O64" s="11"/>
    </row>
    <row r="65" spans="1:15" s="7" customFormat="1" x14ac:dyDescent="0.65">
      <c r="A65" s="11" t="s">
        <v>44</v>
      </c>
      <c r="B65" s="11" t="s">
        <v>48</v>
      </c>
      <c r="C65" s="12" t="s">
        <v>42</v>
      </c>
      <c r="D65" s="11">
        <v>1000000</v>
      </c>
      <c r="E65" s="11" t="s">
        <v>96</v>
      </c>
      <c r="F65" s="11">
        <v>0</v>
      </c>
      <c r="G65" s="11" t="s">
        <v>94</v>
      </c>
      <c r="H65" s="11">
        <v>60</v>
      </c>
      <c r="I65" s="11" t="s">
        <v>95</v>
      </c>
      <c r="J65" s="11">
        <v>10</v>
      </c>
      <c r="K65" s="11"/>
      <c r="L65" s="11"/>
      <c r="M65" s="11"/>
      <c r="N65" s="11"/>
      <c r="O65" s="11"/>
    </row>
    <row r="66" spans="1:15" s="7" customFormat="1" x14ac:dyDescent="0.65">
      <c r="A66" s="11" t="s">
        <v>44</v>
      </c>
      <c r="B66" s="11" t="s">
        <v>49</v>
      </c>
      <c r="C66" s="12" t="s">
        <v>8</v>
      </c>
      <c r="D66" s="11">
        <v>1</v>
      </c>
      <c r="E66" s="11"/>
      <c r="F66" s="11"/>
      <c r="G66" s="11"/>
      <c r="H66" s="11"/>
      <c r="I66" s="11"/>
      <c r="J66" s="11"/>
      <c r="K66" s="11"/>
      <c r="L66" s="11"/>
      <c r="M66" s="11"/>
      <c r="N66" s="11"/>
      <c r="O66" s="11"/>
    </row>
    <row r="67" spans="1:15" s="7" customFormat="1" x14ac:dyDescent="0.65">
      <c r="A67" s="11" t="s">
        <v>44</v>
      </c>
      <c r="B67" s="11" t="s">
        <v>50</v>
      </c>
      <c r="C67" s="12" t="s">
        <v>116</v>
      </c>
      <c r="D67" s="11">
        <v>0</v>
      </c>
      <c r="E67" s="11" t="s">
        <v>78</v>
      </c>
      <c r="F67" s="11">
        <v>1E-4</v>
      </c>
      <c r="G67" s="11"/>
      <c r="H67" s="11"/>
      <c r="I67" s="11"/>
      <c r="J67" s="11"/>
      <c r="K67" s="11"/>
      <c r="L67" s="11"/>
      <c r="M67" s="11"/>
      <c r="N67" s="11"/>
      <c r="O67" s="11"/>
    </row>
    <row r="68" spans="1:15" s="7" customFormat="1" x14ac:dyDescent="0.65">
      <c r="A68" s="11" t="s">
        <v>44</v>
      </c>
      <c r="B68" s="11" t="s">
        <v>51</v>
      </c>
      <c r="C68" s="11" t="s">
        <v>158</v>
      </c>
      <c r="D68" s="11">
        <v>0</v>
      </c>
      <c r="E68" s="11"/>
      <c r="F68" s="11"/>
      <c r="G68" s="11"/>
      <c r="H68" s="11"/>
      <c r="I68" s="11"/>
      <c r="J68" s="11"/>
      <c r="K68" s="11"/>
      <c r="L68" s="11"/>
      <c r="M68" s="11"/>
      <c r="N68" s="11"/>
      <c r="O68" s="11"/>
    </row>
    <row r="69" spans="1:15" s="7" customFormat="1" x14ac:dyDescent="0.65">
      <c r="A69" s="11" t="s">
        <v>45</v>
      </c>
      <c r="B69" s="11" t="s">
        <v>48</v>
      </c>
      <c r="C69" s="12" t="s">
        <v>42</v>
      </c>
      <c r="D69" s="11">
        <v>1000000</v>
      </c>
      <c r="E69" s="11" t="s">
        <v>96</v>
      </c>
      <c r="F69" s="11">
        <v>0</v>
      </c>
      <c r="G69" s="11" t="s">
        <v>94</v>
      </c>
      <c r="H69" s="11">
        <v>60</v>
      </c>
      <c r="I69" s="11" t="s">
        <v>95</v>
      </c>
      <c r="J69" s="11">
        <v>10</v>
      </c>
      <c r="K69" s="11"/>
      <c r="L69" s="11"/>
      <c r="M69" s="11"/>
      <c r="N69" s="11"/>
      <c r="O69" s="11"/>
    </row>
    <row r="70" spans="1:15" s="7" customFormat="1" x14ac:dyDescent="0.65">
      <c r="A70" s="11" t="s">
        <v>45</v>
      </c>
      <c r="B70" s="11" t="s">
        <v>49</v>
      </c>
      <c r="C70" s="12" t="s">
        <v>9</v>
      </c>
      <c r="D70" s="11">
        <v>1</v>
      </c>
      <c r="E70" s="11"/>
      <c r="F70" s="11"/>
      <c r="G70" s="11"/>
      <c r="H70" s="11"/>
      <c r="I70" s="11"/>
      <c r="J70" s="11"/>
      <c r="K70" s="11"/>
      <c r="L70" s="11"/>
      <c r="M70" s="11"/>
      <c r="N70" s="11"/>
      <c r="O70" s="11"/>
    </row>
    <row r="71" spans="1:15" s="7" customFormat="1" x14ac:dyDescent="0.65">
      <c r="A71" s="11" t="s">
        <v>45</v>
      </c>
      <c r="B71" s="11" t="s">
        <v>50</v>
      </c>
      <c r="C71" s="12" t="s">
        <v>116</v>
      </c>
      <c r="D71" s="11">
        <v>0</v>
      </c>
      <c r="E71" s="11" t="s">
        <v>78</v>
      </c>
      <c r="F71" s="11">
        <v>1E-4</v>
      </c>
      <c r="G71" s="11"/>
      <c r="H71" s="11"/>
      <c r="I71" s="11"/>
      <c r="J71" s="11"/>
      <c r="K71" s="11"/>
      <c r="L71" s="11"/>
      <c r="M71" s="11"/>
      <c r="N71" s="11"/>
      <c r="O71" s="11"/>
    </row>
    <row r="72" spans="1:15" s="7" customFormat="1" x14ac:dyDescent="0.65">
      <c r="A72" s="11" t="s">
        <v>45</v>
      </c>
      <c r="B72" s="11" t="s">
        <v>51</v>
      </c>
      <c r="C72" s="11" t="s">
        <v>158</v>
      </c>
      <c r="D72" s="11">
        <v>0</v>
      </c>
      <c r="E72" s="11"/>
      <c r="F72" s="11"/>
      <c r="G72" s="11"/>
      <c r="H72" s="11"/>
      <c r="I72" s="11"/>
      <c r="J72" s="11"/>
      <c r="K72" s="11"/>
      <c r="L72" s="11"/>
      <c r="M72" s="11"/>
      <c r="N72" s="11"/>
      <c r="O72" s="11"/>
    </row>
    <row r="73" spans="1:15" s="7" customFormat="1" x14ac:dyDescent="0.65">
      <c r="A73" s="11" t="s">
        <v>46</v>
      </c>
      <c r="B73" s="11" t="s">
        <v>48</v>
      </c>
      <c r="C73" s="12" t="s">
        <v>42</v>
      </c>
      <c r="D73" s="11">
        <v>1000000</v>
      </c>
      <c r="E73" s="11" t="s">
        <v>96</v>
      </c>
      <c r="F73" s="11">
        <v>0</v>
      </c>
      <c r="G73" s="11" t="s">
        <v>94</v>
      </c>
      <c r="H73" s="11">
        <v>60</v>
      </c>
      <c r="I73" s="11" t="s">
        <v>95</v>
      </c>
      <c r="J73" s="11">
        <v>2</v>
      </c>
      <c r="K73" s="11"/>
      <c r="L73" s="11"/>
      <c r="M73" s="11"/>
      <c r="N73" s="11"/>
      <c r="O73" s="11"/>
    </row>
    <row r="74" spans="1:15" s="7" customFormat="1" x14ac:dyDescent="0.65">
      <c r="A74" s="11" t="s">
        <v>46</v>
      </c>
      <c r="B74" s="11" t="s">
        <v>49</v>
      </c>
      <c r="C74" s="12" t="s">
        <v>10</v>
      </c>
      <c r="D74" s="11">
        <v>1</v>
      </c>
      <c r="E74" s="11"/>
      <c r="F74" s="11"/>
      <c r="G74" s="11"/>
      <c r="H74" s="11"/>
      <c r="I74" s="11"/>
      <c r="J74" s="11"/>
      <c r="K74" s="11"/>
      <c r="L74" s="11"/>
      <c r="M74" s="11"/>
      <c r="N74" s="11"/>
      <c r="O74" s="11"/>
    </row>
    <row r="75" spans="1:15" s="7" customFormat="1" x14ac:dyDescent="0.65">
      <c r="A75" s="11" t="s">
        <v>46</v>
      </c>
      <c r="B75" s="11" t="s">
        <v>50</v>
      </c>
      <c r="C75" s="12" t="s">
        <v>116</v>
      </c>
      <c r="D75" s="11">
        <v>0</v>
      </c>
      <c r="E75" s="11" t="s">
        <v>78</v>
      </c>
      <c r="F75" s="11">
        <v>1E-4</v>
      </c>
      <c r="G75" s="11"/>
      <c r="H75" s="11"/>
      <c r="I75" s="11"/>
      <c r="J75" s="11"/>
      <c r="K75" s="11"/>
      <c r="L75" s="11"/>
      <c r="M75" s="11"/>
      <c r="N75" s="11"/>
      <c r="O75" s="11"/>
    </row>
    <row r="76" spans="1:15" s="7" customFormat="1" x14ac:dyDescent="0.65">
      <c r="A76" s="11" t="s">
        <v>46</v>
      </c>
      <c r="B76" s="11" t="s">
        <v>51</v>
      </c>
      <c r="C76" s="11" t="s">
        <v>160</v>
      </c>
      <c r="D76" s="11">
        <v>1</v>
      </c>
      <c r="E76" s="11"/>
      <c r="F76" s="11"/>
      <c r="G76" s="11"/>
      <c r="I76" s="11"/>
      <c r="J76" s="11"/>
      <c r="K76" s="11"/>
      <c r="L76" s="11"/>
      <c r="M76" s="11"/>
      <c r="N76" s="11"/>
      <c r="O76" s="11"/>
    </row>
    <row r="77" spans="1:15" s="7" customFormat="1" x14ac:dyDescent="0.65">
      <c r="A77" s="11" t="s">
        <v>59</v>
      </c>
      <c r="B77" s="11" t="s">
        <v>48</v>
      </c>
      <c r="C77" s="12" t="s">
        <v>42</v>
      </c>
      <c r="D77" s="11">
        <v>1</v>
      </c>
      <c r="E77" s="11" t="s">
        <v>96</v>
      </c>
      <c r="F77" s="11">
        <v>0</v>
      </c>
      <c r="G77" s="11" t="s">
        <v>94</v>
      </c>
      <c r="H77" s="11">
        <v>30</v>
      </c>
      <c r="I77" s="11" t="s">
        <v>95</v>
      </c>
      <c r="J77" s="11">
        <v>2</v>
      </c>
      <c r="K77" s="11"/>
      <c r="L77" s="11"/>
      <c r="M77" s="11"/>
      <c r="N77" s="11"/>
      <c r="O77" s="11"/>
    </row>
    <row r="78" spans="1:15" s="7" customFormat="1" x14ac:dyDescent="0.65">
      <c r="A78" s="11" t="s">
        <v>59</v>
      </c>
      <c r="B78" s="11" t="s">
        <v>49</v>
      </c>
      <c r="C78" s="12" t="s">
        <v>9</v>
      </c>
      <c r="D78" s="11">
        <v>1</v>
      </c>
      <c r="E78" s="11"/>
      <c r="F78" s="11"/>
      <c r="G78" s="11"/>
      <c r="H78" s="11"/>
      <c r="I78" s="11"/>
      <c r="J78" s="11"/>
      <c r="K78" s="11"/>
      <c r="L78" s="11"/>
      <c r="M78" s="11"/>
      <c r="N78" s="11"/>
      <c r="O78" s="11"/>
    </row>
    <row r="79" spans="1:15" s="7" customFormat="1" x14ac:dyDescent="0.65">
      <c r="A79" s="11" t="s">
        <v>59</v>
      </c>
      <c r="B79" s="11" t="s">
        <v>50</v>
      </c>
      <c r="C79" s="12" t="s">
        <v>116</v>
      </c>
      <c r="D79" s="11">
        <v>0</v>
      </c>
      <c r="E79" s="11" t="s">
        <v>78</v>
      </c>
      <c r="F79" s="11">
        <v>1E-4</v>
      </c>
      <c r="G79" s="11"/>
      <c r="H79" s="11"/>
      <c r="I79" s="11"/>
      <c r="J79" s="11"/>
      <c r="K79" s="11"/>
      <c r="L79" s="11"/>
      <c r="M79" s="11"/>
      <c r="N79" s="11"/>
      <c r="O79" s="11"/>
    </row>
    <row r="80" spans="1:15" s="7" customFormat="1" x14ac:dyDescent="0.65">
      <c r="A80" s="11" t="s">
        <v>59</v>
      </c>
      <c r="B80" s="11" t="s">
        <v>51</v>
      </c>
      <c r="C80" s="11" t="s">
        <v>34</v>
      </c>
      <c r="D80" s="11">
        <v>0</v>
      </c>
      <c r="E80" s="11"/>
      <c r="F80" s="11"/>
      <c r="G80" s="11"/>
      <c r="H80" s="11"/>
      <c r="I80" s="11"/>
      <c r="J80" s="11"/>
      <c r="M80" s="11"/>
      <c r="N80" s="11"/>
      <c r="O80" s="11"/>
    </row>
    <row r="81" spans="1:16" s="7" customFormat="1" x14ac:dyDescent="0.65">
      <c r="A81" s="11" t="s">
        <v>140</v>
      </c>
      <c r="B81" s="11" t="s">
        <v>48</v>
      </c>
      <c r="C81" s="12" t="s">
        <v>42</v>
      </c>
      <c r="D81" s="11">
        <v>50000</v>
      </c>
      <c r="E81" s="11" t="s">
        <v>96</v>
      </c>
      <c r="F81" s="11">
        <v>0</v>
      </c>
      <c r="G81" s="11" t="s">
        <v>94</v>
      </c>
      <c r="H81" s="11">
        <v>100</v>
      </c>
      <c r="I81" s="11" t="s">
        <v>95</v>
      </c>
      <c r="J81" s="11">
        <v>2</v>
      </c>
      <c r="K81" s="11"/>
      <c r="L81" s="11"/>
      <c r="M81" s="11"/>
      <c r="N81" s="11"/>
      <c r="O81" s="11"/>
    </row>
    <row r="82" spans="1:16" s="7" customFormat="1" x14ac:dyDescent="0.65">
      <c r="A82" s="11" t="s">
        <v>140</v>
      </c>
      <c r="B82" s="11" t="s">
        <v>49</v>
      </c>
      <c r="C82" s="12" t="s">
        <v>6</v>
      </c>
      <c r="D82" s="11">
        <v>1</v>
      </c>
      <c r="E82" s="11"/>
      <c r="F82" s="11"/>
      <c r="G82" s="11"/>
      <c r="H82" s="11"/>
      <c r="I82" s="11"/>
      <c r="J82" s="11"/>
      <c r="K82" s="11"/>
      <c r="L82" s="11"/>
      <c r="M82" s="11"/>
      <c r="N82" s="11"/>
      <c r="O82" s="11"/>
    </row>
    <row r="83" spans="1:16" s="7" customFormat="1" x14ac:dyDescent="0.65">
      <c r="A83" s="11" t="s">
        <v>140</v>
      </c>
      <c r="B83" s="11" t="s">
        <v>50</v>
      </c>
      <c r="C83" s="12" t="s">
        <v>116</v>
      </c>
      <c r="D83" s="11">
        <v>0</v>
      </c>
      <c r="E83" s="11" t="s">
        <v>58</v>
      </c>
      <c r="F83" s="11">
        <v>0</v>
      </c>
      <c r="G83" s="11" t="s">
        <v>78</v>
      </c>
      <c r="H83" s="11">
        <v>1E-4</v>
      </c>
      <c r="I83" s="7" t="s">
        <v>121</v>
      </c>
      <c r="J83" s="7">
        <v>0</v>
      </c>
      <c r="K83" s="11"/>
      <c r="L83" s="11"/>
      <c r="M83" s="11"/>
      <c r="N83" s="11"/>
      <c r="O83" s="11"/>
    </row>
    <row r="84" spans="1:16" s="7" customFormat="1" x14ac:dyDescent="0.65">
      <c r="A84" s="11" t="s">
        <v>140</v>
      </c>
      <c r="B84" s="11" t="s">
        <v>51</v>
      </c>
      <c r="C84" s="11" t="s">
        <v>158</v>
      </c>
      <c r="D84" s="11">
        <v>0</v>
      </c>
      <c r="E84" s="11" t="s">
        <v>159</v>
      </c>
      <c r="F84" s="11">
        <v>0</v>
      </c>
      <c r="G84" s="11" t="s">
        <v>160</v>
      </c>
      <c r="H84" s="11">
        <v>0</v>
      </c>
      <c r="I84" s="11" t="s">
        <v>88</v>
      </c>
      <c r="J84" s="11">
        <v>0</v>
      </c>
      <c r="M84" s="11"/>
      <c r="N84" s="11"/>
      <c r="O84" s="11"/>
      <c r="P84" s="11"/>
    </row>
    <row r="85" spans="1:16" x14ac:dyDescent="0.65">
      <c r="A85" s="1" t="s">
        <v>11</v>
      </c>
    </row>
    <row r="86" spans="1:16" x14ac:dyDescent="0.65">
      <c r="A86" s="1" t="s">
        <v>11</v>
      </c>
    </row>
    <row r="87" spans="1:16" x14ac:dyDescent="0.65">
      <c r="A87" s="1" t="s">
        <v>11</v>
      </c>
    </row>
    <row r="88" spans="1:16" x14ac:dyDescent="0.65">
      <c r="A88" s="1" t="s">
        <v>11</v>
      </c>
    </row>
    <row r="89" spans="1:16" x14ac:dyDescent="0.65">
      <c r="A89" s="1" t="s">
        <v>11</v>
      </c>
    </row>
    <row r="90" spans="1:16" x14ac:dyDescent="0.65">
      <c r="A90" s="1" t="s">
        <v>11</v>
      </c>
    </row>
    <row r="91" spans="1:16" x14ac:dyDescent="0.65">
      <c r="A91" s="1" t="s">
        <v>11</v>
      </c>
    </row>
    <row r="92" spans="1:16" x14ac:dyDescent="0.65">
      <c r="A92" s="1" t="s">
        <v>11</v>
      </c>
    </row>
    <row r="93" spans="1:16" x14ac:dyDescent="0.65">
      <c r="A93" s="1" t="s">
        <v>11</v>
      </c>
    </row>
    <row r="94" spans="1:16" x14ac:dyDescent="0.65">
      <c r="A94" s="1" t="s">
        <v>11</v>
      </c>
    </row>
    <row r="95" spans="1:16" x14ac:dyDescent="0.65">
      <c r="A95" s="1" t="s">
        <v>11</v>
      </c>
    </row>
    <row r="96" spans="1:16" x14ac:dyDescent="0.65">
      <c r="A96" s="1" t="s">
        <v>11</v>
      </c>
    </row>
    <row r="97" spans="1:1" x14ac:dyDescent="0.65">
      <c r="A97" s="1" t="s">
        <v>11</v>
      </c>
    </row>
    <row r="98" spans="1:1" x14ac:dyDescent="0.65">
      <c r="A98" s="1" t="s">
        <v>11</v>
      </c>
    </row>
    <row r="99" spans="1:1" x14ac:dyDescent="0.65">
      <c r="A99" s="1" t="s">
        <v>11</v>
      </c>
    </row>
    <row r="100" spans="1:1" x14ac:dyDescent="0.65">
      <c r="A100" s="1" t="s">
        <v>11</v>
      </c>
    </row>
    <row r="101" spans="1:1" x14ac:dyDescent="0.65">
      <c r="A101" s="1" t="s">
        <v>11</v>
      </c>
    </row>
    <row r="102" spans="1:1" x14ac:dyDescent="0.65">
      <c r="A102" s="1" t="s">
        <v>11</v>
      </c>
    </row>
    <row r="103" spans="1:1" x14ac:dyDescent="0.6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F80"/>
  <sheetViews>
    <sheetView topLeftCell="A2" zoomScale="90" zoomScaleNormal="90" workbookViewId="0">
      <selection activeCell="E30" sqref="E30"/>
    </sheetView>
  </sheetViews>
  <sheetFormatPr baseColWidth="10" defaultRowHeight="14.25" x14ac:dyDescent="0.65"/>
  <cols>
    <col min="1" max="1" width="10.86328125" style="1"/>
    <col min="2" max="2" width="23.76953125" style="1" customWidth="1"/>
    <col min="3" max="3" width="10.86328125" style="2"/>
    <col min="4" max="5" width="10.86328125" style="1"/>
    <col min="6" max="6" width="13.76953125" style="1" customWidth="1"/>
    <col min="7" max="15" width="10.8632812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0</v>
      </c>
      <c r="N2" s="11"/>
      <c r="O2" s="11"/>
    </row>
    <row r="3" spans="1:31" s="7" customFormat="1" x14ac:dyDescent="0.65">
      <c r="A3" s="11" t="s">
        <v>1</v>
      </c>
      <c r="B3" s="11" t="s">
        <v>104</v>
      </c>
      <c r="C3" s="12">
        <v>1</v>
      </c>
      <c r="D3" s="11"/>
      <c r="E3" s="11"/>
      <c r="F3" s="11"/>
      <c r="G3" s="11"/>
      <c r="H3" s="11"/>
      <c r="I3" s="11"/>
      <c r="J3" s="11"/>
      <c r="K3" s="11"/>
      <c r="L3" s="11"/>
      <c r="M3" s="11"/>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97</v>
      </c>
      <c r="C6" s="11">
        <v>1</v>
      </c>
      <c r="D6" s="11" t="s">
        <v>98</v>
      </c>
      <c r="E6" s="11">
        <v>0.5</v>
      </c>
      <c r="F6" s="11"/>
      <c r="G6" s="11"/>
      <c r="H6" s="11"/>
      <c r="I6" s="11"/>
      <c r="J6" s="11"/>
      <c r="K6" s="11"/>
      <c r="L6" s="11"/>
      <c r="M6" s="11"/>
      <c r="N6" s="11"/>
      <c r="O6" s="11"/>
    </row>
    <row r="7" spans="1:31" s="7" customFormat="1" x14ac:dyDescent="0.65">
      <c r="A7" s="11" t="s">
        <v>100</v>
      </c>
      <c r="B7" s="11" t="s">
        <v>89</v>
      </c>
      <c r="C7" s="12">
        <v>0</v>
      </c>
      <c r="D7" s="11" t="s">
        <v>76</v>
      </c>
      <c r="E7" s="12">
        <v>0</v>
      </c>
      <c r="F7" s="11" t="s">
        <v>99</v>
      </c>
      <c r="G7" s="12">
        <v>1</v>
      </c>
      <c r="H7" s="11"/>
      <c r="I7" s="11"/>
      <c r="J7" s="11"/>
      <c r="K7" s="11"/>
      <c r="L7" s="11"/>
      <c r="M7" s="11"/>
      <c r="N7" s="11"/>
      <c r="O7" s="11"/>
    </row>
    <row r="8" spans="1:31" s="7" customFormat="1" x14ac:dyDescent="0.65">
      <c r="A8" s="11" t="s">
        <v>11</v>
      </c>
      <c r="B8" s="11"/>
      <c r="C8" s="12"/>
      <c r="D8" s="11"/>
      <c r="E8" s="11"/>
      <c r="F8" s="11"/>
      <c r="G8" s="11"/>
      <c r="H8" s="11"/>
      <c r="I8" s="11"/>
      <c r="J8" s="11"/>
      <c r="K8" s="11"/>
      <c r="L8" s="11"/>
      <c r="M8" s="11"/>
      <c r="N8" s="11"/>
      <c r="O8" s="11"/>
    </row>
    <row r="9" spans="1:31" s="7" customFormat="1" x14ac:dyDescent="0.65">
      <c r="A9" s="11" t="s">
        <v>11</v>
      </c>
      <c r="B9" s="11"/>
      <c r="C9" s="12"/>
      <c r="D9" s="11"/>
      <c r="E9" s="11"/>
      <c r="F9" s="11"/>
      <c r="G9" s="11"/>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1</v>
      </c>
      <c r="J16" s="11" t="s">
        <v>18</v>
      </c>
      <c r="K16" s="12">
        <v>1</v>
      </c>
      <c r="L16" s="11" t="s">
        <v>19</v>
      </c>
      <c r="M16" s="12">
        <v>0.5</v>
      </c>
      <c r="N16" s="11" t="s">
        <v>71</v>
      </c>
      <c r="O16" s="12">
        <v>0</v>
      </c>
      <c r="P16" s="11" t="s">
        <v>20</v>
      </c>
      <c r="Q16" s="12">
        <v>0</v>
      </c>
      <c r="R16" s="11" t="s">
        <v>70</v>
      </c>
      <c r="S16" s="12">
        <v>0</v>
      </c>
      <c r="T16" s="7" t="s">
        <v>60</v>
      </c>
      <c r="U16" s="7">
        <v>0.5</v>
      </c>
      <c r="V16" s="7" t="s">
        <v>72</v>
      </c>
      <c r="W16" s="7">
        <v>0</v>
      </c>
      <c r="X16" s="7" t="s">
        <v>73</v>
      </c>
      <c r="Y16" s="7">
        <v>0</v>
      </c>
      <c r="Z16" s="7" t="s">
        <v>74</v>
      </c>
      <c r="AA16" s="7">
        <v>0</v>
      </c>
      <c r="AB16" s="7" t="s">
        <v>21</v>
      </c>
      <c r="AC16" s="7">
        <v>0.5</v>
      </c>
      <c r="AD16" s="7" t="s">
        <v>75</v>
      </c>
      <c r="AE16" s="7">
        <v>0</v>
      </c>
    </row>
    <row r="17" spans="1:16" s="7" customFormat="1" x14ac:dyDescent="0.65">
      <c r="A17" s="11" t="s">
        <v>13</v>
      </c>
      <c r="B17" s="11" t="s">
        <v>20</v>
      </c>
      <c r="C17" s="12">
        <v>0</v>
      </c>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113</v>
      </c>
      <c r="C25" s="7">
        <v>0</v>
      </c>
      <c r="D25" s="11" t="s">
        <v>114</v>
      </c>
      <c r="E25" s="7">
        <v>0</v>
      </c>
      <c r="F25" s="11" t="s">
        <v>88</v>
      </c>
      <c r="G25" s="7">
        <v>0</v>
      </c>
      <c r="H25" s="11" t="s">
        <v>115</v>
      </c>
      <c r="I25" s="7">
        <v>0</v>
      </c>
      <c r="J25" s="11" t="s">
        <v>117</v>
      </c>
      <c r="K25" s="7">
        <v>0</v>
      </c>
      <c r="L25" s="11" t="s">
        <v>91</v>
      </c>
      <c r="M25" s="7">
        <v>0</v>
      </c>
      <c r="N25" s="11" t="s">
        <v>119</v>
      </c>
      <c r="O25" s="7">
        <v>0</v>
      </c>
      <c r="P25" s="11"/>
    </row>
    <row r="26" spans="1:16" s="7" customFormat="1" x14ac:dyDescent="0.65">
      <c r="A26" s="11" t="s">
        <v>26</v>
      </c>
      <c r="B26" s="11" t="s">
        <v>116</v>
      </c>
      <c r="C26" s="11" t="s">
        <v>30</v>
      </c>
      <c r="D26" s="11" t="s">
        <v>58</v>
      </c>
      <c r="E26" s="11" t="s">
        <v>78</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1</v>
      </c>
      <c r="D28" s="11" t="s">
        <v>7</v>
      </c>
      <c r="E28" s="12">
        <v>1</v>
      </c>
      <c r="F28" s="11" t="s">
        <v>8</v>
      </c>
      <c r="G28" s="12">
        <v>1</v>
      </c>
      <c r="H28" s="11" t="s">
        <v>9</v>
      </c>
      <c r="I28" s="12">
        <v>0.5</v>
      </c>
      <c r="J28" s="11" t="s">
        <v>10</v>
      </c>
      <c r="K28" s="12">
        <v>0</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113</v>
      </c>
      <c r="C30" s="11" t="s">
        <v>86</v>
      </c>
      <c r="D30" s="11"/>
      <c r="F30" s="11"/>
      <c r="G30" s="11"/>
      <c r="H30" s="11"/>
      <c r="I30" s="11"/>
      <c r="J30" s="11"/>
      <c r="K30" s="11"/>
      <c r="L30" s="11"/>
      <c r="M30" s="11"/>
      <c r="N30" s="11"/>
      <c r="O30" s="11"/>
    </row>
    <row r="31" spans="1:16" s="7" customFormat="1" x14ac:dyDescent="0.65">
      <c r="A31" s="11" t="s">
        <v>33</v>
      </c>
      <c r="B31" s="11" t="s">
        <v>114</v>
      </c>
      <c r="C31" s="11" t="s">
        <v>93</v>
      </c>
      <c r="D31" s="11"/>
      <c r="E31" s="11"/>
      <c r="G31" s="11"/>
      <c r="H31" s="11"/>
      <c r="I31" s="11"/>
      <c r="J31" s="11"/>
      <c r="K31" s="11"/>
      <c r="L31" s="11"/>
      <c r="M31" s="11"/>
      <c r="N31" s="11"/>
      <c r="O31" s="11"/>
    </row>
    <row r="32" spans="1:16" s="7" customFormat="1" x14ac:dyDescent="0.65">
      <c r="A32" s="11" t="s">
        <v>33</v>
      </c>
      <c r="B32" s="11" t="s">
        <v>115</v>
      </c>
      <c r="C32" s="12" t="s">
        <v>118</v>
      </c>
      <c r="D32" s="11"/>
      <c r="F32" s="11"/>
      <c r="G32" s="11"/>
      <c r="H32" s="11"/>
      <c r="I32" s="11"/>
      <c r="J32" s="11"/>
      <c r="K32" s="11"/>
      <c r="L32" s="11"/>
      <c r="M32" s="11"/>
      <c r="N32" s="11"/>
      <c r="O32" s="11"/>
    </row>
    <row r="33" spans="1:15" s="7" customFormat="1" x14ac:dyDescent="0.65">
      <c r="A33" s="11" t="s">
        <v>33</v>
      </c>
      <c r="B33" s="11" t="s">
        <v>88</v>
      </c>
      <c r="C33" s="11" t="s">
        <v>86</v>
      </c>
      <c r="D33" s="11"/>
      <c r="E33" s="11"/>
      <c r="F33" s="11"/>
      <c r="G33" s="11"/>
      <c r="H33" s="11"/>
      <c r="I33" s="11"/>
      <c r="J33" s="11"/>
      <c r="K33" s="11"/>
      <c r="L33" s="11"/>
      <c r="M33" s="11"/>
      <c r="N33" s="11"/>
      <c r="O33" s="11"/>
    </row>
    <row r="34" spans="1:15" s="7" customFormat="1" x14ac:dyDescent="0.65">
      <c r="A34" s="11" t="s">
        <v>33</v>
      </c>
      <c r="B34" s="11" t="s">
        <v>117</v>
      </c>
      <c r="C34" s="11" t="s">
        <v>84</v>
      </c>
      <c r="E34" s="11"/>
      <c r="F34" s="11"/>
      <c r="G34" s="11"/>
      <c r="H34" s="11"/>
      <c r="I34" s="11"/>
      <c r="J34" s="11"/>
      <c r="K34" s="11"/>
      <c r="L34" s="11"/>
      <c r="M34" s="11"/>
      <c r="N34" s="11"/>
      <c r="O34" s="11"/>
    </row>
    <row r="35" spans="1:15" s="7" customFormat="1" x14ac:dyDescent="0.65">
      <c r="A35" s="11" t="s">
        <v>11</v>
      </c>
      <c r="B35" s="11"/>
      <c r="C35" s="11"/>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105</v>
      </c>
      <c r="D37" s="11" t="s">
        <v>92</v>
      </c>
      <c r="E37" s="11" t="s">
        <v>106</v>
      </c>
      <c r="F37" s="11" t="s">
        <v>93</v>
      </c>
      <c r="G37" s="11"/>
      <c r="H37" s="11"/>
      <c r="I37" s="11"/>
      <c r="J37" s="11"/>
      <c r="K37" s="11"/>
      <c r="L37" s="11"/>
      <c r="M37" s="11"/>
      <c r="N37" s="11"/>
      <c r="O37" s="11"/>
    </row>
    <row r="38" spans="1:15" s="7" customFormat="1" x14ac:dyDescent="0.65">
      <c r="A38" s="11" t="s">
        <v>33</v>
      </c>
      <c r="B38" s="11" t="s">
        <v>119</v>
      </c>
      <c r="C38" s="11" t="s">
        <v>84</v>
      </c>
      <c r="D38" s="11" t="s">
        <v>120</v>
      </c>
      <c r="E38" s="11" t="s">
        <v>85</v>
      </c>
      <c r="F38" s="11" t="s">
        <v>86</v>
      </c>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0.01</v>
      </c>
      <c r="D41" s="11" t="s">
        <v>7</v>
      </c>
      <c r="E41" s="12">
        <v>0.01</v>
      </c>
      <c r="F41" s="11" t="s">
        <v>8</v>
      </c>
      <c r="G41" s="12">
        <v>0.01</v>
      </c>
      <c r="H41" s="11" t="s">
        <v>9</v>
      </c>
      <c r="I41" s="12">
        <v>0.5</v>
      </c>
      <c r="J41" s="11" t="s">
        <v>10</v>
      </c>
      <c r="K41" s="12">
        <v>0.5</v>
      </c>
      <c r="L41" s="11"/>
      <c r="M41" s="11"/>
      <c r="N41" s="11"/>
      <c r="O41" s="11"/>
    </row>
    <row r="42" spans="1:15" s="7" customFormat="1" x14ac:dyDescent="0.65">
      <c r="A42" s="11" t="s">
        <v>65</v>
      </c>
      <c r="B42" s="11" t="s">
        <v>6</v>
      </c>
      <c r="C42" s="12">
        <v>0</v>
      </c>
      <c r="D42" s="11" t="s">
        <v>7</v>
      </c>
      <c r="E42" s="11">
        <v>0</v>
      </c>
      <c r="F42" s="11" t="s">
        <v>8</v>
      </c>
      <c r="G42" s="11">
        <v>0</v>
      </c>
      <c r="H42" s="11" t="s">
        <v>9</v>
      </c>
      <c r="I42" s="11">
        <v>0</v>
      </c>
      <c r="J42" s="11" t="s">
        <v>10</v>
      </c>
      <c r="K42" s="11">
        <v>0.1</v>
      </c>
      <c r="L42" s="11"/>
      <c r="M42" s="11"/>
      <c r="N42" s="11"/>
      <c r="O42" s="11"/>
    </row>
    <row r="43" spans="1:15" s="7" customFormat="1" x14ac:dyDescent="0.65">
      <c r="A43" s="11" t="s">
        <v>107</v>
      </c>
      <c r="B43" s="11" t="s">
        <v>6</v>
      </c>
      <c r="C43" s="12" t="s">
        <v>108</v>
      </c>
      <c r="D43" s="11" t="s">
        <v>7</v>
      </c>
      <c r="E43" s="11" t="s">
        <v>109</v>
      </c>
      <c r="F43" s="11" t="s">
        <v>8</v>
      </c>
      <c r="G43" s="11" t="s">
        <v>110</v>
      </c>
      <c r="H43" s="11" t="s">
        <v>9</v>
      </c>
      <c r="I43" s="11" t="s">
        <v>112</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113</v>
      </c>
      <c r="D46" s="11" t="s">
        <v>56</v>
      </c>
      <c r="E46" s="11" t="s">
        <v>116</v>
      </c>
      <c r="F46" s="11" t="s">
        <v>57</v>
      </c>
      <c r="G46" s="11" t="s">
        <v>117</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KIND</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0</v>
      </c>
      <c r="G49" s="11" t="s">
        <v>94</v>
      </c>
      <c r="H49" s="11">
        <v>60</v>
      </c>
      <c r="I49" s="11" t="s">
        <v>95</v>
      </c>
      <c r="J49" s="11">
        <v>10</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c r="H51" s="11"/>
      <c r="J51" s="11"/>
      <c r="K51" s="11"/>
      <c r="L51" s="11"/>
      <c r="M51" s="11"/>
      <c r="N51" s="11"/>
      <c r="O51" s="11"/>
    </row>
    <row r="52" spans="1:15" s="7" customFormat="1" x14ac:dyDescent="0.65">
      <c r="A52" s="11" t="s">
        <v>41</v>
      </c>
      <c r="B52" s="11" t="s">
        <v>51</v>
      </c>
      <c r="C52" s="11" t="s">
        <v>113</v>
      </c>
      <c r="D52" s="11">
        <v>0</v>
      </c>
      <c r="E52" s="11"/>
      <c r="F52" s="11"/>
      <c r="G52" s="11"/>
      <c r="H52" s="11"/>
      <c r="I52" s="11"/>
      <c r="J52" s="11"/>
      <c r="K52" s="11"/>
      <c r="L52" s="11"/>
      <c r="M52" s="11"/>
      <c r="N52" s="11"/>
      <c r="O52" s="11"/>
    </row>
    <row r="53" spans="1:15" s="7" customFormat="1" x14ac:dyDescent="0.65">
      <c r="A53" s="11" t="s">
        <v>43</v>
      </c>
      <c r="B53" s="11" t="s">
        <v>48</v>
      </c>
      <c r="C53" s="12" t="s">
        <v>42</v>
      </c>
      <c r="D53" s="11">
        <v>1000000</v>
      </c>
      <c r="E53" s="11" t="s">
        <v>96</v>
      </c>
      <c r="F53" s="11">
        <v>0</v>
      </c>
      <c r="G53" s="11" t="s">
        <v>94</v>
      </c>
      <c r="H53" s="11">
        <v>60</v>
      </c>
      <c r="I53" s="11" t="s">
        <v>95</v>
      </c>
      <c r="J53" s="11">
        <v>10</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113</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v>
      </c>
      <c r="G57" s="11" t="s">
        <v>94</v>
      </c>
      <c r="H57" s="11">
        <v>60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113</v>
      </c>
      <c r="D60" s="11">
        <v>0</v>
      </c>
      <c r="E60" s="11"/>
      <c r="F60" s="11"/>
      <c r="G60" s="11"/>
      <c r="H60" s="11"/>
      <c r="I60" s="11"/>
      <c r="J60" s="11"/>
      <c r="K60" s="11"/>
      <c r="L60" s="11"/>
      <c r="M60" s="11"/>
      <c r="N60" s="11"/>
      <c r="O60" s="11"/>
    </row>
    <row r="61" spans="1:15" s="7" customFormat="1" x14ac:dyDescent="0.65">
      <c r="A61" s="11" t="s">
        <v>45</v>
      </c>
      <c r="B61" s="11" t="s">
        <v>48</v>
      </c>
      <c r="C61" s="12" t="s">
        <v>42</v>
      </c>
      <c r="D61" s="11">
        <v>1000000</v>
      </c>
      <c r="E61" s="11" t="s">
        <v>96</v>
      </c>
      <c r="F61" s="11">
        <v>0</v>
      </c>
      <c r="G61" s="11" t="s">
        <v>94</v>
      </c>
      <c r="H61" s="11">
        <v>30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113</v>
      </c>
      <c r="D64" s="11">
        <v>0</v>
      </c>
      <c r="E64" s="11"/>
      <c r="F64" s="11"/>
      <c r="G64" s="11"/>
      <c r="H64" s="11"/>
      <c r="I64" s="11"/>
      <c r="J64" s="11"/>
      <c r="K64" s="11"/>
      <c r="L64" s="11"/>
      <c r="M64" s="11"/>
      <c r="N64" s="11"/>
      <c r="O64" s="11"/>
    </row>
    <row r="65" spans="1:32" s="7" customFormat="1" x14ac:dyDescent="0.65">
      <c r="A65" s="11" t="s">
        <v>46</v>
      </c>
      <c r="B65" s="11" t="s">
        <v>48</v>
      </c>
      <c r="C65" s="12" t="s">
        <v>42</v>
      </c>
      <c r="D65" s="11">
        <v>1000000</v>
      </c>
      <c r="E65" s="11" t="s">
        <v>96</v>
      </c>
      <c r="F65" s="11">
        <v>0</v>
      </c>
      <c r="G65" s="11" t="s">
        <v>94</v>
      </c>
      <c r="H65" s="11">
        <v>30</v>
      </c>
      <c r="I65" s="11" t="s">
        <v>95</v>
      </c>
      <c r="J65" s="11">
        <v>2</v>
      </c>
      <c r="K65" s="11"/>
      <c r="L65" s="11"/>
      <c r="M65" s="11"/>
      <c r="N65" s="11"/>
      <c r="O65" s="11"/>
    </row>
    <row r="66" spans="1:32" s="7" customFormat="1" x14ac:dyDescent="0.65">
      <c r="A66" s="11" t="s">
        <v>46</v>
      </c>
      <c r="B66" s="11" t="s">
        <v>49</v>
      </c>
      <c r="C66" s="12" t="s">
        <v>10</v>
      </c>
      <c r="D66" s="11">
        <v>1</v>
      </c>
      <c r="E66" s="11"/>
      <c r="F66" s="11"/>
      <c r="G66" s="11"/>
      <c r="H66" s="11"/>
      <c r="I66" s="11"/>
      <c r="J66" s="11"/>
      <c r="K66" s="11"/>
      <c r="L66" s="11"/>
      <c r="M66" s="11"/>
      <c r="N66" s="11"/>
      <c r="O66" s="11"/>
    </row>
    <row r="67" spans="1:32" s="7" customFormat="1" x14ac:dyDescent="0.65">
      <c r="A67" s="11" t="s">
        <v>46</v>
      </c>
      <c r="B67" s="11" t="s">
        <v>50</v>
      </c>
      <c r="C67" s="12" t="s">
        <v>116</v>
      </c>
      <c r="D67" s="11">
        <v>0</v>
      </c>
      <c r="E67" s="11" t="s">
        <v>78</v>
      </c>
      <c r="F67" s="11">
        <v>1E-4</v>
      </c>
      <c r="G67" s="11"/>
      <c r="H67" s="11"/>
      <c r="I67" s="11"/>
      <c r="J67" s="11"/>
      <c r="K67" s="11"/>
      <c r="L67" s="11"/>
      <c r="M67" s="11"/>
      <c r="N67" s="11"/>
      <c r="O67" s="11"/>
    </row>
    <row r="68" spans="1:32" s="7" customFormat="1" x14ac:dyDescent="0.65">
      <c r="A68" s="11" t="s">
        <v>46</v>
      </c>
      <c r="B68" s="11" t="s">
        <v>51</v>
      </c>
      <c r="C68" s="11" t="s">
        <v>113</v>
      </c>
      <c r="D68" s="11">
        <v>0</v>
      </c>
      <c r="E68" s="11"/>
      <c r="F68" s="11"/>
      <c r="G68" s="11"/>
      <c r="H68" s="11"/>
      <c r="I68" s="11"/>
      <c r="J68" s="11"/>
      <c r="K68" s="11"/>
      <c r="L68" s="11"/>
      <c r="M68" s="11"/>
      <c r="N68" s="11"/>
      <c r="O68" s="11"/>
    </row>
    <row r="69" spans="1:32" s="7" customFormat="1" x14ac:dyDescent="0.65">
      <c r="A69" s="11" t="s">
        <v>59</v>
      </c>
      <c r="B69" s="11" t="s">
        <v>48</v>
      </c>
      <c r="C69" s="12" t="s">
        <v>42</v>
      </c>
      <c r="D69" s="11">
        <v>1</v>
      </c>
      <c r="E69" s="11" t="s">
        <v>96</v>
      </c>
      <c r="F69" s="11">
        <v>0</v>
      </c>
      <c r="G69" s="11" t="s">
        <v>94</v>
      </c>
      <c r="H69" s="11">
        <v>200</v>
      </c>
      <c r="I69" s="11" t="s">
        <v>95</v>
      </c>
      <c r="J69" s="11">
        <v>2</v>
      </c>
      <c r="K69" s="11"/>
      <c r="L69" s="11"/>
      <c r="M69" s="11"/>
      <c r="N69" s="11"/>
      <c r="O69" s="11"/>
    </row>
    <row r="70" spans="1:32" s="7" customFormat="1" x14ac:dyDescent="0.65">
      <c r="A70" s="11" t="s">
        <v>59</v>
      </c>
      <c r="B70" s="11" t="s">
        <v>49</v>
      </c>
      <c r="C70" s="12" t="s">
        <v>6</v>
      </c>
      <c r="D70" s="11">
        <v>1</v>
      </c>
      <c r="E70" s="11"/>
      <c r="F70" s="11"/>
      <c r="G70" s="11"/>
      <c r="H70" s="11"/>
      <c r="I70" s="11"/>
      <c r="J70" s="11"/>
      <c r="K70" s="11"/>
      <c r="L70" s="11"/>
      <c r="M70" s="11"/>
      <c r="N70" s="11"/>
      <c r="O70" s="11"/>
    </row>
    <row r="71" spans="1:32" s="7" customFormat="1" x14ac:dyDescent="0.65">
      <c r="A71" s="11" t="s">
        <v>59</v>
      </c>
      <c r="B71" s="11" t="s">
        <v>50</v>
      </c>
      <c r="C71" s="12" t="s">
        <v>116</v>
      </c>
      <c r="D71" s="11">
        <v>0</v>
      </c>
      <c r="E71" s="11" t="s">
        <v>78</v>
      </c>
      <c r="F71" s="11">
        <v>1E-4</v>
      </c>
      <c r="G71" s="11"/>
      <c r="H71" s="11"/>
      <c r="I71" s="11"/>
      <c r="J71" s="11"/>
      <c r="K71" s="11"/>
      <c r="L71" s="11"/>
      <c r="M71" s="11"/>
      <c r="N71" s="11"/>
      <c r="O71" s="11"/>
    </row>
    <row r="72" spans="1:32" s="7" customFormat="1" x14ac:dyDescent="0.65">
      <c r="A72" s="11" t="s">
        <v>59</v>
      </c>
      <c r="B72" s="11" t="s">
        <v>51</v>
      </c>
      <c r="C72" s="11" t="s">
        <v>113</v>
      </c>
      <c r="D72" s="11">
        <v>0</v>
      </c>
      <c r="E72" s="11"/>
      <c r="F72" s="11"/>
      <c r="G72" s="11"/>
      <c r="H72" s="11"/>
      <c r="I72" s="11"/>
      <c r="J72" s="11"/>
      <c r="K72" s="11"/>
      <c r="L72" s="11"/>
      <c r="M72" s="11"/>
      <c r="N72" s="11"/>
      <c r="O72" s="11"/>
    </row>
    <row r="73" spans="1:32" x14ac:dyDescent="0.65">
      <c r="A73" s="11" t="s">
        <v>101</v>
      </c>
      <c r="B73" s="11" t="s">
        <v>48</v>
      </c>
      <c r="C73" s="12" t="s">
        <v>42</v>
      </c>
      <c r="D73" s="11">
        <v>1000000</v>
      </c>
      <c r="E73" s="11" t="s">
        <v>96</v>
      </c>
      <c r="F73" s="11">
        <v>0</v>
      </c>
      <c r="G73" s="11" t="s">
        <v>94</v>
      </c>
      <c r="H73" s="11">
        <v>30</v>
      </c>
      <c r="I73" s="11" t="s">
        <v>95</v>
      </c>
      <c r="J73" s="11">
        <v>2</v>
      </c>
      <c r="K73" s="11"/>
      <c r="L73" s="11"/>
      <c r="M73" s="11"/>
      <c r="N73" s="11"/>
      <c r="O73" s="11"/>
      <c r="P73" s="7"/>
      <c r="Q73" s="7"/>
      <c r="R73" s="7"/>
      <c r="S73" s="7"/>
      <c r="T73" s="7"/>
      <c r="U73" s="7"/>
      <c r="V73" s="7"/>
      <c r="W73" s="7"/>
      <c r="X73" s="7"/>
      <c r="Y73" s="7"/>
      <c r="Z73" s="7"/>
      <c r="AA73" s="7"/>
      <c r="AB73" s="7"/>
      <c r="AC73" s="7"/>
      <c r="AD73" s="7"/>
      <c r="AE73" s="7"/>
      <c r="AF73" s="7"/>
    </row>
    <row r="74" spans="1:32" x14ac:dyDescent="0.65">
      <c r="A74" s="11" t="s">
        <v>101</v>
      </c>
      <c r="B74" s="11" t="s">
        <v>49</v>
      </c>
      <c r="C74" s="12" t="s">
        <v>9</v>
      </c>
      <c r="D74" s="11">
        <v>1</v>
      </c>
      <c r="E74" s="11"/>
      <c r="F74" s="11"/>
      <c r="G74" s="11"/>
      <c r="H74" s="11"/>
      <c r="I74" s="11"/>
      <c r="J74" s="11"/>
      <c r="K74" s="11"/>
      <c r="L74" s="11"/>
      <c r="M74" s="11"/>
      <c r="N74" s="11"/>
      <c r="O74" s="11"/>
      <c r="P74" s="7"/>
      <c r="Q74" s="7"/>
      <c r="R74" s="7"/>
      <c r="S74" s="7"/>
      <c r="T74" s="7"/>
      <c r="U74" s="7"/>
      <c r="V74" s="7"/>
      <c r="W74" s="7"/>
      <c r="X74" s="7"/>
      <c r="Y74" s="7"/>
      <c r="Z74" s="7"/>
      <c r="AA74" s="7"/>
      <c r="AB74" s="7"/>
      <c r="AC74" s="7"/>
      <c r="AD74" s="7"/>
      <c r="AE74" s="7"/>
      <c r="AF74" s="7"/>
    </row>
    <row r="75" spans="1:32" x14ac:dyDescent="0.65">
      <c r="A75" s="11" t="s">
        <v>101</v>
      </c>
      <c r="B75" s="11" t="s">
        <v>50</v>
      </c>
      <c r="C75" s="12" t="s">
        <v>116</v>
      </c>
      <c r="D75" s="11">
        <v>1</v>
      </c>
      <c r="E75" s="11" t="s">
        <v>58</v>
      </c>
      <c r="F75" s="11">
        <v>1</v>
      </c>
      <c r="G75" s="11" t="s">
        <v>78</v>
      </c>
      <c r="H75" s="11">
        <v>1E-4</v>
      </c>
      <c r="I75" s="11"/>
      <c r="J75" s="11"/>
      <c r="K75" s="11"/>
      <c r="L75" s="11"/>
      <c r="M75" s="11"/>
      <c r="N75" s="11"/>
      <c r="O75" s="11"/>
      <c r="P75" s="7"/>
      <c r="Q75" s="7"/>
      <c r="R75" s="7"/>
      <c r="S75" s="7"/>
      <c r="T75" s="7"/>
      <c r="U75" s="7"/>
      <c r="V75" s="7"/>
      <c r="W75" s="7"/>
      <c r="X75" s="7"/>
      <c r="Y75" s="7"/>
      <c r="Z75" s="7"/>
      <c r="AA75" s="7"/>
      <c r="AB75" s="7"/>
      <c r="AC75" s="7"/>
      <c r="AD75" s="7"/>
      <c r="AE75" s="7"/>
      <c r="AF75" s="7"/>
    </row>
    <row r="76" spans="1:32" x14ac:dyDescent="0.65">
      <c r="A76" s="11" t="s">
        <v>101</v>
      </c>
      <c r="B76" s="11" t="s">
        <v>51</v>
      </c>
      <c r="C76" s="11" t="s">
        <v>113</v>
      </c>
      <c r="D76" s="11">
        <v>1</v>
      </c>
      <c r="E76" s="11" t="s">
        <v>117</v>
      </c>
      <c r="F76" s="11">
        <v>1</v>
      </c>
      <c r="G76" s="11" t="s">
        <v>114</v>
      </c>
      <c r="H76" s="11">
        <v>1</v>
      </c>
      <c r="I76" s="11" t="s">
        <v>88</v>
      </c>
      <c r="J76" s="11">
        <v>1</v>
      </c>
      <c r="K76" s="7" t="s">
        <v>115</v>
      </c>
      <c r="L76" s="7">
        <v>1</v>
      </c>
      <c r="M76" s="11" t="s">
        <v>91</v>
      </c>
      <c r="N76" s="11">
        <v>1</v>
      </c>
      <c r="O76" s="11" t="s">
        <v>119</v>
      </c>
      <c r="P76" s="11">
        <v>1</v>
      </c>
      <c r="Q76" s="7"/>
      <c r="R76" s="7"/>
      <c r="S76" s="7"/>
      <c r="T76" s="7"/>
      <c r="U76" s="7"/>
      <c r="V76" s="7"/>
      <c r="W76" s="7"/>
      <c r="X76" s="7"/>
      <c r="Y76" s="7"/>
      <c r="Z76" s="7"/>
      <c r="AA76" s="7"/>
      <c r="AB76" s="7"/>
      <c r="AC76" s="7"/>
      <c r="AD76" s="7"/>
      <c r="AE76" s="7"/>
      <c r="AF76" s="7"/>
    </row>
    <row r="77" spans="1:32" x14ac:dyDescent="0.65">
      <c r="A77" s="1" t="s">
        <v>11</v>
      </c>
    </row>
    <row r="78" spans="1:32" x14ac:dyDescent="0.65">
      <c r="A78" s="1" t="s">
        <v>11</v>
      </c>
    </row>
    <row r="79" spans="1:32" x14ac:dyDescent="0.65">
      <c r="A79" s="1" t="s">
        <v>11</v>
      </c>
    </row>
    <row r="80" spans="1:32" x14ac:dyDescent="0.65">
      <c r="A80"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tabSelected="1" zoomScale="83" zoomScaleNormal="83" workbookViewId="0">
      <selection activeCell="A12" sqref="A12"/>
    </sheetView>
  </sheetViews>
  <sheetFormatPr baseColWidth="10" defaultRowHeight="14.25" x14ac:dyDescent="0.65"/>
  <cols>
    <col min="4" max="4" width="4.1796875" customWidth="1"/>
    <col min="8" max="8" width="4.54296875" customWidth="1"/>
  </cols>
  <sheetData>
    <row r="1" spans="1:31" x14ac:dyDescent="0.65">
      <c r="A1" t="s">
        <v>63</v>
      </c>
      <c r="I1" t="s">
        <v>61</v>
      </c>
      <c r="J1" t="s">
        <v>62</v>
      </c>
      <c r="K1" t="s">
        <v>67</v>
      </c>
      <c r="M1" t="s">
        <v>79</v>
      </c>
      <c r="N1" t="s">
        <v>80</v>
      </c>
      <c r="O1" t="s">
        <v>81</v>
      </c>
      <c r="P1" t="s">
        <v>82</v>
      </c>
      <c r="Q1" t="s">
        <v>83</v>
      </c>
    </row>
    <row r="2" spans="1:31" x14ac:dyDescent="0.65">
      <c r="A2" s="4" t="s">
        <v>6</v>
      </c>
      <c r="B2" s="5" t="s">
        <v>6</v>
      </c>
      <c r="C2" s="6" t="s">
        <v>8</v>
      </c>
      <c r="E2" s="4" t="s">
        <v>27</v>
      </c>
      <c r="F2" s="5" t="s">
        <v>34</v>
      </c>
      <c r="G2" s="6" t="s">
        <v>29</v>
      </c>
      <c r="I2" s="8"/>
      <c r="J2" s="8"/>
      <c r="K2" s="8"/>
      <c r="M2">
        <v>1</v>
      </c>
      <c r="N2">
        <v>1</v>
      </c>
      <c r="O2">
        <v>1</v>
      </c>
      <c r="P2">
        <v>1</v>
      </c>
      <c r="Q2">
        <v>1</v>
      </c>
    </row>
    <row r="3" spans="1:31" ht="15.5" x14ac:dyDescent="0.7">
      <c r="A3" s="7" t="s">
        <v>6</v>
      </c>
      <c r="B3" s="7" t="s">
        <v>6</v>
      </c>
      <c r="C3" s="7" t="s">
        <v>6</v>
      </c>
      <c r="D3" s="3"/>
      <c r="E3" s="1" t="s">
        <v>23</v>
      </c>
      <c r="F3" s="1" t="s">
        <v>23</v>
      </c>
      <c r="G3" s="1" t="s">
        <v>23</v>
      </c>
      <c r="I3" s="1">
        <v>0.01</v>
      </c>
      <c r="J3">
        <v>0</v>
      </c>
      <c r="K3">
        <v>0</v>
      </c>
      <c r="M3">
        <v>0</v>
      </c>
      <c r="N3">
        <v>0</v>
      </c>
      <c r="O3">
        <v>0</v>
      </c>
      <c r="P3">
        <v>0</v>
      </c>
      <c r="Q3">
        <v>0</v>
      </c>
    </row>
    <row r="4" spans="1:31" x14ac:dyDescent="0.65">
      <c r="A4" s="7" t="s">
        <v>7</v>
      </c>
      <c r="B4" s="7" t="s">
        <v>7</v>
      </c>
      <c r="C4" s="7" t="s">
        <v>7</v>
      </c>
      <c r="E4" s="2" t="s">
        <v>24</v>
      </c>
      <c r="F4" s="2" t="s">
        <v>24</v>
      </c>
      <c r="G4" s="2" t="s">
        <v>24</v>
      </c>
      <c r="I4">
        <v>0.8</v>
      </c>
      <c r="J4" s="7">
        <v>1</v>
      </c>
      <c r="K4" s="7">
        <v>1</v>
      </c>
      <c r="M4">
        <v>1</v>
      </c>
      <c r="N4">
        <v>1</v>
      </c>
      <c r="O4">
        <v>1</v>
      </c>
      <c r="P4">
        <v>1</v>
      </c>
      <c r="Q4">
        <v>1</v>
      </c>
    </row>
    <row r="5" spans="1:31" x14ac:dyDescent="0.65">
      <c r="A5" s="7" t="s">
        <v>8</v>
      </c>
      <c r="B5" s="7" t="s">
        <v>8</v>
      </c>
      <c r="C5" s="7" t="s">
        <v>8</v>
      </c>
      <c r="E5" s="1" t="s">
        <v>25</v>
      </c>
      <c r="F5" s="1" t="s">
        <v>25</v>
      </c>
      <c r="G5" s="1" t="s">
        <v>29</v>
      </c>
      <c r="M5">
        <v>0.1</v>
      </c>
      <c r="N5">
        <v>0.1</v>
      </c>
      <c r="O5">
        <v>0.1</v>
      </c>
      <c r="P5">
        <v>0.1</v>
      </c>
      <c r="Q5">
        <v>0.1</v>
      </c>
    </row>
    <row r="6" spans="1:31" x14ac:dyDescent="0.65">
      <c r="A6" s="7" t="s">
        <v>9</v>
      </c>
      <c r="B6" s="7" t="s">
        <v>9</v>
      </c>
      <c r="C6" s="7" t="s">
        <v>9</v>
      </c>
      <c r="E6" s="1" t="s">
        <v>27</v>
      </c>
      <c r="F6" s="1" t="s">
        <v>27</v>
      </c>
      <c r="G6" s="1" t="s">
        <v>27</v>
      </c>
    </row>
    <row r="7" spans="1:31" x14ac:dyDescent="0.65">
      <c r="A7" s="7" t="s">
        <v>10</v>
      </c>
      <c r="B7" s="7" t="s">
        <v>10</v>
      </c>
      <c r="C7" s="7" t="s">
        <v>10</v>
      </c>
      <c r="E7" s="2" t="s">
        <v>28</v>
      </c>
      <c r="F7" s="2" t="s">
        <v>28</v>
      </c>
      <c r="G7" s="2" t="s">
        <v>28</v>
      </c>
    </row>
    <row r="8" spans="1:31" ht="15.5" customHeight="1" x14ac:dyDescent="0.65">
      <c r="E8" s="1" t="s">
        <v>77</v>
      </c>
      <c r="F8" s="1" t="s">
        <v>77</v>
      </c>
      <c r="G8" s="1" t="s">
        <v>77</v>
      </c>
    </row>
    <row r="9" spans="1:31" ht="19.25" customHeight="1" x14ac:dyDescent="0.65">
      <c r="E9" s="1" t="s">
        <v>29</v>
      </c>
      <c r="F9" s="1" t="s">
        <v>29</v>
      </c>
      <c r="G9" s="1" t="s">
        <v>29</v>
      </c>
    </row>
    <row r="10" spans="1:31" ht="15.75" customHeight="1" x14ac:dyDescent="0.65">
      <c r="E10" s="1" t="s">
        <v>34</v>
      </c>
      <c r="F10" s="1" t="s">
        <v>34</v>
      </c>
      <c r="G10" s="1" t="s">
        <v>34</v>
      </c>
      <c r="J10" s="1"/>
      <c r="K10" s="1"/>
      <c r="L10" s="1"/>
    </row>
    <row r="11" spans="1:31" x14ac:dyDescent="0.65">
      <c r="E11" s="1" t="s">
        <v>66</v>
      </c>
      <c r="F11" s="1" t="s">
        <v>66</v>
      </c>
      <c r="G11" s="1" t="s">
        <v>66</v>
      </c>
      <c r="L11" s="1"/>
    </row>
    <row r="12" spans="1:31" x14ac:dyDescent="0.65">
      <c r="A12" t="s">
        <v>103</v>
      </c>
    </row>
    <row r="15" spans="1:31" x14ac:dyDescent="0.6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65">
      <c r="A9" s="11" t="s">
        <v>134</v>
      </c>
      <c r="B9" s="11" t="s">
        <v>125</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65">
      <c r="A9" s="11" t="s">
        <v>134</v>
      </c>
      <c r="B9" s="11" t="s">
        <v>125</v>
      </c>
      <c r="C9" s="12">
        <v>0.1</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1.0999999999999999E-2</v>
      </c>
      <c r="D8" s="11" t="s">
        <v>123</v>
      </c>
      <c r="E8" s="12">
        <v>0</v>
      </c>
      <c r="F8" s="11" t="s">
        <v>124</v>
      </c>
      <c r="G8" s="12">
        <v>0</v>
      </c>
      <c r="H8" s="11" t="s">
        <v>91</v>
      </c>
      <c r="I8" s="11">
        <v>0</v>
      </c>
      <c r="J8" s="11" t="s">
        <v>34</v>
      </c>
      <c r="K8" s="11">
        <v>0.1</v>
      </c>
      <c r="L8" s="11"/>
      <c r="M8" s="11"/>
      <c r="N8" s="11"/>
      <c r="O8" s="11"/>
    </row>
    <row r="9" spans="1:31" s="7" customFormat="1" x14ac:dyDescent="0.65">
      <c r="A9" s="11" t="s">
        <v>134</v>
      </c>
      <c r="B9" s="11" t="s">
        <v>125</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BM39"/>
  <sheetViews>
    <sheetView zoomScale="80" zoomScaleNormal="80" workbookViewId="0">
      <selection activeCell="D1" sqref="D1"/>
    </sheetView>
  </sheetViews>
  <sheetFormatPr baseColWidth="10" defaultRowHeight="14.25" x14ac:dyDescent="0.65"/>
  <cols>
    <col min="1" max="1" width="22.453125" style="1" customWidth="1"/>
    <col min="2" max="2" width="23.76953125" style="1" customWidth="1"/>
    <col min="3" max="3" width="11.453125" style="2"/>
    <col min="4" max="15" width="11.453125" style="1"/>
  </cols>
  <sheetData>
    <row r="2" spans="1:65" x14ac:dyDescent="0.6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65">
      <c r="A3"/>
      <c r="B3"/>
      <c r="C3"/>
      <c r="D3"/>
      <c r="E3"/>
      <c r="F3"/>
      <c r="G3"/>
      <c r="H3"/>
      <c r="I3"/>
      <c r="J3"/>
      <c r="K3"/>
      <c r="L3"/>
      <c r="M3"/>
      <c r="N3"/>
      <c r="O3"/>
    </row>
    <row r="4" spans="1:65" x14ac:dyDescent="0.65">
      <c r="A4"/>
      <c r="B4" t="s">
        <v>6</v>
      </c>
      <c r="C4" t="s">
        <v>7</v>
      </c>
      <c r="D4" t="s">
        <v>8</v>
      </c>
      <c r="E4" t="s">
        <v>9</v>
      </c>
      <c r="F4" t="s">
        <v>10</v>
      </c>
      <c r="G4"/>
      <c r="H4"/>
      <c r="I4"/>
      <c r="J4"/>
      <c r="K4"/>
      <c r="L4"/>
      <c r="M4"/>
      <c r="N4"/>
      <c r="O4"/>
    </row>
    <row r="5" spans="1:65" x14ac:dyDescent="0.65">
      <c r="A5" t="s">
        <v>6</v>
      </c>
      <c r="B5">
        <v>1</v>
      </c>
      <c r="C5">
        <v>1</v>
      </c>
      <c r="D5">
        <v>1E-3</v>
      </c>
      <c r="E5">
        <v>1E-3</v>
      </c>
      <c r="F5">
        <v>0.01</v>
      </c>
      <c r="G5"/>
      <c r="H5"/>
      <c r="I5"/>
      <c r="J5"/>
      <c r="K5"/>
      <c r="L5"/>
      <c r="M5"/>
      <c r="N5"/>
      <c r="O5"/>
    </row>
    <row r="6" spans="1:65" x14ac:dyDescent="0.65">
      <c r="A6" t="s">
        <v>7</v>
      </c>
      <c r="B6"/>
      <c r="C6">
        <v>1</v>
      </c>
      <c r="D6">
        <v>0.3</v>
      </c>
      <c r="E6">
        <v>0.01</v>
      </c>
      <c r="F6">
        <v>0.01</v>
      </c>
      <c r="G6"/>
      <c r="H6"/>
      <c r="I6"/>
      <c r="J6"/>
      <c r="K6"/>
      <c r="L6"/>
      <c r="M6"/>
      <c r="N6"/>
      <c r="O6"/>
    </row>
    <row r="7" spans="1:65" x14ac:dyDescent="0.65">
      <c r="A7" t="s">
        <v>8</v>
      </c>
      <c r="B7"/>
      <c r="C7"/>
      <c r="D7">
        <v>1</v>
      </c>
      <c r="E7">
        <v>0</v>
      </c>
      <c r="F7">
        <v>1E-3</v>
      </c>
      <c r="G7"/>
      <c r="H7"/>
      <c r="I7"/>
      <c r="J7"/>
      <c r="K7"/>
      <c r="L7"/>
      <c r="M7"/>
      <c r="N7"/>
      <c r="O7"/>
    </row>
    <row r="8" spans="1:65" x14ac:dyDescent="0.65">
      <c r="A8" t="s">
        <v>9</v>
      </c>
      <c r="B8"/>
      <c r="C8"/>
      <c r="D8"/>
      <c r="E8">
        <v>0.1</v>
      </c>
      <c r="F8">
        <v>1E-3</v>
      </c>
      <c r="G8"/>
      <c r="H8"/>
      <c r="I8"/>
      <c r="J8"/>
      <c r="K8"/>
      <c r="L8"/>
      <c r="M8"/>
      <c r="N8"/>
      <c r="O8"/>
    </row>
    <row r="9" spans="1:65" x14ac:dyDescent="0.65">
      <c r="A9" t="s">
        <v>10</v>
      </c>
      <c r="B9"/>
      <c r="C9"/>
      <c r="D9"/>
      <c r="E9"/>
      <c r="F9">
        <v>1</v>
      </c>
      <c r="G9"/>
      <c r="H9"/>
      <c r="I9"/>
      <c r="J9"/>
      <c r="K9"/>
      <c r="L9"/>
      <c r="M9"/>
      <c r="N9"/>
      <c r="O9"/>
    </row>
    <row r="12" spans="1:65" x14ac:dyDescent="0.65">
      <c r="A12" s="9" t="s">
        <v>71</v>
      </c>
      <c r="B12" s="10">
        <v>1E-3</v>
      </c>
      <c r="C12" s="9" t="s">
        <v>20</v>
      </c>
      <c r="D12" s="10">
        <v>1E-3</v>
      </c>
      <c r="E12" s="9" t="s">
        <v>70</v>
      </c>
      <c r="F12" s="10">
        <v>0.01</v>
      </c>
      <c r="G12" s="8" t="s">
        <v>60</v>
      </c>
      <c r="H12" s="8">
        <v>0.3</v>
      </c>
      <c r="I12" s="8" t="s">
        <v>72</v>
      </c>
      <c r="J12" s="8">
        <v>0.01</v>
      </c>
      <c r="K12" s="8" t="s">
        <v>73</v>
      </c>
      <c r="L12" s="8">
        <v>0.01</v>
      </c>
    </row>
    <row r="13" spans="1:65" x14ac:dyDescent="0.65">
      <c r="A13" s="8" t="s">
        <v>74</v>
      </c>
      <c r="B13" s="8">
        <v>0</v>
      </c>
      <c r="C13" s="8" t="s">
        <v>21</v>
      </c>
      <c r="D13" s="8">
        <v>1E-3</v>
      </c>
      <c r="E13" s="8" t="s">
        <v>75</v>
      </c>
      <c r="F13" s="8">
        <v>1E-3</v>
      </c>
    </row>
    <row r="16" spans="1:65" x14ac:dyDescent="0.65">
      <c r="E16" s="2"/>
      <c r="G16" s="2"/>
      <c r="I16" s="2"/>
      <c r="K16" s="2"/>
      <c r="M16" s="2"/>
      <c r="O16" s="2"/>
      <c r="P16" s="1"/>
      <c r="Q16" s="2"/>
      <c r="R16" s="1"/>
      <c r="S16" s="2"/>
    </row>
    <row r="28" spans="5:11" x14ac:dyDescent="0.65">
      <c r="E28" s="2"/>
      <c r="G28" s="2"/>
      <c r="I28" s="2"/>
      <c r="K28" s="2"/>
    </row>
    <row r="39" spans="5:11" x14ac:dyDescent="0.65">
      <c r="E39" s="2"/>
      <c r="G39" s="2"/>
      <c r="I39" s="2"/>
      <c r="K39" s="2"/>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2019-07-28T10:33:28Z</dcterms:modified>
</cp:coreProperties>
</file>
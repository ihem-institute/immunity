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<sst xmlns="http://schemas.openxmlformats.org/spreadsheetml/2006/main" count="1628" uniqueCount="166">
  <si>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</si>
  <si>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</si>
  <si>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</si>
  <si>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</si>
  <si>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</si>
  <si>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</si>
  <si>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</si>
  <si>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</si>
  <si>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</si>
  <si>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</si>
  <si>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</si>
  <si>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</si>
  <si>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</si>
  <si>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</si>
  <si>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</si>
  <si>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</si>
  <si>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</si>
  <si>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</si>
  <si>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</si>
  <si>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</si>
  <si>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</si>
  <si>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</si>
  <si>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</si>
  <si>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</si>
  <si>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</si>
  <si>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</si>
  <si>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</si>
  <si>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</si>
  <si>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</si>
  <si>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</si>
  <si>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</si>
  <si>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</si>
  <si>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</si>
  <si>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</si>
  <si>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</si>
  <si>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</si>
  <si>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</si>
  <si>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</si>
  <si>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</si>
  <si>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</si>
  <si>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</si>
  <si>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</si>
  <si>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</si>
  <si>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</si>
  <si>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</si>
  <si>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</si>
  <si>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</si>
  <si>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</si>
  <si>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</si>
  <si>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</si>
  <si>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</si>
  <si>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</si>
  <si>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</si>
  <si>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</si>
  <si>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</si>
  <si>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</si>
  <si>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</si>
  <si>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</si>
  <si>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</si>
  <si>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</si>
  <si>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</si>
  <si>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</si>
  <si>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</si>
  <si>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</si>
  <si>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</si>
  <si>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</si>
  <si>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</si>
  <si>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</si>
  <si>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</si>
  <si>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</si>
  <si>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</si>
  <si>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</si>
  <si>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</si>
  <si>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</si>
  <si>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</si>
  <si>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</si>
  <si>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</si>
  <si>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</si>
  <si>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</si>
  <si>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</si>
  <si>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</si>
  <si>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</si>
  <si>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</si>
  <si>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</si>
  <si>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</si>
  <si>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</si>
  <si>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</si>
  <si>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</si>
  <si>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</si>
  <si>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</si>
  <si>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</si>
  <si>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</si>
  <si>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</si>
  <si>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</si>
  <si>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</si>
  <si>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</si>
  <si>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</si>
  <si>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</si>
  <si>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</si>
  <si>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</si>
  <si>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</si>
  <si>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</si>
  <si>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</si>
  <si>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</si>
  <si>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</si>
  <si>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</si>
  <si>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</si>
  <si>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</si>
  <si>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</si>
  <si>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</si>
  <si>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</si>
  <si>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</si>
  <si>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</si>
  <si>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</si>
  <si>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</si>
  <si>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</si>
  <si>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</si>
  <si>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</si>
  <si>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</si>
  <si>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</si>
  <si>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</si>
  <si>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</si>
  <si>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</si>
  <si>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</si>
  <si>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</si>
  <si>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</si>
  <si>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</si>
  <si>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</si>
  <si>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</si>
  <si>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</si>
  <si>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</si>
  <si>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</si>
  <si>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</si>
  <si>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</si>
  <si>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</si>
  <si>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</si>
  <si>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</si>
  <si>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</si>
  <si>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</si>
  <si>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</si>
  <si>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</si>
  <si>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</si>
  <si>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</si>
  <si>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</si>
  <si>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</si>
  <si>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</si>
  <si>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</si>
  <si>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</si>
  <si>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</si>
  <si>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</si>
  <si>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</si>
  <si>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medialGolgi</t>
  </si>
  <si>
    <t>Gpli</t>
  </si>
  <si>
    <t>Spli</t>
  </si>
  <si>
    <t>RabB03</t>
  </si>
  <si>
    <t>RabC01</t>
  </si>
  <si>
    <t>RabA05</t>
  </si>
  <si>
    <t>RabE05</t>
  </si>
  <si>
    <t>RabD01</t>
  </si>
  <si>
    <t>VSVG</t>
  </si>
  <si>
    <t>ManI</t>
  </si>
  <si>
    <t>KdelR</t>
  </si>
  <si>
    <t>RabBRabA</t>
  </si>
  <si>
    <t>RabCRabB</t>
  </si>
  <si>
    <t>RabDRabC</t>
  </si>
  <si>
    <t>RabERabD</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</si>
</sst>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B3" zoomScale="90" zoomScaleNormal="90" workbookViewId="0">
      <selection activeCell="K24" sqref="K24"/>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135</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102</v>
      </c>
      <c r="I2" s="11">
        <v>1</v>
      </c>
      <c r="N2" s="11"/>
      <c r="O2" s="11"/>
    </row>
    <row r="3" spans="1:16" s="7" customFormat="1" x14ac:dyDescent="0.65">
      <c r="A3" s="11" t="s">
        <v>1</v>
      </c>
      <c r="B3" s="11" t="s">
        <v>104</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149</v>
      </c>
      <c r="B5" s="1" t="s">
        <v>144</v>
      </c>
      <c r="C5" s="2">
        <f>1500*1500/(E2^2)</f>
        <v>9000000</v>
      </c>
      <c r="D5" s="1" t="s">
        <v>145</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B7" s="11" t="s">
        <v>78</v>
      </c>
      <c r="C7" s="11">
        <v>0</v>
      </c>
      <c r="D7" s="7" t="s">
        <v>116</v>
      </c>
      <c r="E7" s="7">
        <v>0</v>
      </c>
      <c r="F7" s="11"/>
      <c r="G7" s="11"/>
      <c r="H7" s="11"/>
      <c r="I7" s="11"/>
      <c r="J7" s="11"/>
      <c r="K7" s="11"/>
      <c r="L7" s="11"/>
      <c r="M7" s="11"/>
      <c r="N7" s="11"/>
      <c r="O7" s="11"/>
    </row>
    <row r="8" spans="1:16" s="7" customFormat="1" x14ac:dyDescent="0.65">
      <c r="A8" s="11" t="s">
        <v>100</v>
      </c>
      <c r="B8" s="11" t="s">
        <v>161</v>
      </c>
      <c r="C8" s="12">
        <v>0</v>
      </c>
      <c r="D8" s="11" t="s">
        <v>115</v>
      </c>
      <c r="E8" s="12">
        <v>0</v>
      </c>
      <c r="F8" s="11" t="s">
        <v>160</v>
      </c>
      <c r="G8" s="12">
        <v>0</v>
      </c>
      <c r="H8" s="11"/>
      <c r="I8" s="11"/>
      <c r="J8" s="11"/>
      <c r="K8" s="11"/>
      <c r="L8" s="11"/>
      <c r="M8" s="11"/>
      <c r="N8" s="11"/>
      <c r="O8" s="11"/>
    </row>
    <row r="9" spans="1:16" s="7" customFormat="1" x14ac:dyDescent="0.65">
      <c r="A9" s="11" t="s">
        <v>150</v>
      </c>
      <c r="B9" s="11" t="s">
        <v>11</v>
      </c>
      <c r="C9" s="12"/>
      <c r="D9" s="11"/>
      <c r="E9" s="12"/>
      <c r="F9" s="11"/>
      <c r="G9" s="12"/>
      <c r="H9" s="11"/>
      <c r="I9" s="11"/>
      <c r="J9" s="11"/>
      <c r="K9" s="11"/>
      <c r="L9" s="11"/>
      <c r="M9" s="11"/>
      <c r="N9" s="11"/>
      <c r="O9" s="11"/>
    </row>
    <row r="10" spans="1:16" x14ac:dyDescent="0.65">
      <c r="A10" s="15" t="s">
        <v>136</v>
      </c>
    </row>
    <row r="11" spans="1:16" x14ac:dyDescent="0.65">
      <c r="A11" s="1" t="s">
        <v>148</v>
      </c>
      <c r="B11" s="1" t="s">
        <v>146</v>
      </c>
      <c r="C11" s="2">
        <f>1500*400/E2^2</f>
        <v>2400000</v>
      </c>
      <c r="D11" s="1" t="s">
        <v>147</v>
      </c>
      <c r="E11" s="1">
        <f>1500*400*1000/E2^3</f>
        <v>4800000000</v>
      </c>
    </row>
    <row r="12" spans="1:16" s="7" customFormat="1" x14ac:dyDescent="0.65">
      <c r="A12" s="11" t="s">
        <v>133</v>
      </c>
      <c r="B12" s="11" t="s">
        <v>161</v>
      </c>
      <c r="C12" s="12">
        <v>0</v>
      </c>
      <c r="D12" s="11" t="s">
        <v>115</v>
      </c>
      <c r="E12" s="12">
        <v>0</v>
      </c>
      <c r="F12" s="11" t="s">
        <v>160</v>
      </c>
      <c r="G12" s="12">
        <v>0</v>
      </c>
      <c r="H12" s="7" t="s">
        <v>152</v>
      </c>
      <c r="I12" s="7">
        <v>0</v>
      </c>
      <c r="J12" s="7" t="s">
        <v>153</v>
      </c>
      <c r="K12" s="7">
        <v>0</v>
      </c>
      <c r="L12" s="11" t="s">
        <v>159</v>
      </c>
      <c r="M12" s="11">
        <v>0</v>
      </c>
      <c r="N12" s="11"/>
      <c r="O12" s="11"/>
    </row>
    <row r="13" spans="1:16" s="7" customFormat="1" x14ac:dyDescent="0.65">
      <c r="A13" s="11" t="s">
        <v>134</v>
      </c>
      <c r="B13" s="11"/>
      <c r="C13" s="12"/>
      <c r="D13" s="11"/>
      <c r="E13" s="12"/>
      <c r="F13" s="11"/>
      <c r="G13" s="12"/>
      <c r="H13" s="11"/>
      <c r="I13" s="11"/>
      <c r="J13" s="11"/>
      <c r="K13" s="11"/>
      <c r="L13" s="11"/>
      <c r="M13" s="11"/>
      <c r="N13" s="11"/>
      <c r="O13" s="11"/>
    </row>
    <row r="14" spans="1:16" s="7" customFormat="1" x14ac:dyDescent="0.65">
      <c r="A14" s="11" t="s">
        <v>137</v>
      </c>
      <c r="B14" s="11" t="s">
        <v>161</v>
      </c>
      <c r="C14" s="12">
        <v>0.5</v>
      </c>
      <c r="D14" s="11" t="s">
        <v>115</v>
      </c>
      <c r="E14" s="12">
        <v>0.5</v>
      </c>
      <c r="F14" s="11" t="s">
        <v>160</v>
      </c>
      <c r="G14" s="12">
        <v>0.5</v>
      </c>
      <c r="H14" s="11" t="s">
        <v>159</v>
      </c>
      <c r="I14" s="7">
        <v>0.5</v>
      </c>
      <c r="J14" s="11"/>
      <c r="L14" s="11"/>
      <c r="N14" s="11"/>
      <c r="P14" s="11"/>
    </row>
    <row r="15" spans="1:16" s="7" customFormat="1" x14ac:dyDescent="0.65">
      <c r="A15" s="11" t="s">
        <v>141</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142</v>
      </c>
      <c r="B18" s="1" t="s">
        <v>11</v>
      </c>
    </row>
    <row r="19" spans="1:15" x14ac:dyDescent="0.65">
      <c r="A19" s="1" t="s">
        <v>143</v>
      </c>
      <c r="B19" s="1" t="s">
        <v>11</v>
      </c>
    </row>
    <row r="20" spans="1:15" s="7" customFormat="1" x14ac:dyDescent="0.65">
      <c r="A20" s="11" t="s">
        <v>13</v>
      </c>
      <c r="B20" s="11" t="s">
        <v>14</v>
      </c>
      <c r="C20" s="12">
        <v>1</v>
      </c>
      <c r="D20" s="7" t="s">
        <v>162</v>
      </c>
      <c r="E20" s="7">
        <v>0.5</v>
      </c>
    </row>
    <row r="21" spans="1:15" s="7" customFormat="1" x14ac:dyDescent="0.65">
      <c r="A21" s="11" t="s">
        <v>13</v>
      </c>
      <c r="B21" s="11" t="s">
        <v>19</v>
      </c>
      <c r="C21" s="7">
        <v>0.5</v>
      </c>
      <c r="D21" s="11" t="s">
        <v>15</v>
      </c>
      <c r="E21" s="12">
        <v>1</v>
      </c>
      <c r="F21" s="11" t="s">
        <v>163</v>
      </c>
      <c r="G21" s="11">
        <v>0.5</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164</v>
      </c>
      <c r="I22" s="11">
        <v>0.5</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165</v>
      </c>
      <c r="K23" s="11">
        <v>0.5</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90</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1</v>
      </c>
      <c r="D30" s="11" t="s">
        <v>7</v>
      </c>
      <c r="E30" s="12">
        <v>0.6</v>
      </c>
      <c r="F30" s="11" t="s">
        <v>8</v>
      </c>
      <c r="G30" s="12">
        <v>0.3</v>
      </c>
      <c r="H30" s="11" t="s">
        <v>9</v>
      </c>
      <c r="I30" s="12">
        <v>0.15</v>
      </c>
      <c r="J30" s="11" t="s">
        <v>10</v>
      </c>
      <c r="K30" s="12">
        <v>0</v>
      </c>
      <c r="L30" s="11"/>
      <c r="M30" s="11"/>
      <c r="N30" s="11"/>
      <c r="O30" s="11"/>
    </row>
    <row r="31" spans="1:15" s="7" customFormat="1" x14ac:dyDescent="0.65">
      <c r="A31" s="11" t="s">
        <v>138</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65">
      <c r="A32" s="11" t="s">
        <v>139</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0.5</v>
      </c>
      <c r="L33" s="11"/>
      <c r="M33" s="11"/>
      <c r="N33" s="11"/>
      <c r="O33" s="11"/>
    </row>
    <row r="34" spans="1:16" s="7" customFormat="1" x14ac:dyDescent="0.65">
      <c r="A34" s="11" t="s">
        <v>107</v>
      </c>
      <c r="B34" s="11" t="s">
        <v>6</v>
      </c>
      <c r="C34" s="12" t="s">
        <v>112</v>
      </c>
      <c r="D34" s="11" t="s">
        <v>7</v>
      </c>
      <c r="E34" s="11" t="s">
        <v>108</v>
      </c>
      <c r="F34" s="11" t="s">
        <v>8</v>
      </c>
      <c r="G34" s="11" t="s">
        <v>151</v>
      </c>
      <c r="H34" s="11" t="s">
        <v>9</v>
      </c>
      <c r="I34" s="11" t="s">
        <v>110</v>
      </c>
      <c r="J34" s="11" t="s">
        <v>10</v>
      </c>
      <c r="K34" s="11" t="s">
        <v>111</v>
      </c>
      <c r="L34" s="11"/>
      <c r="M34" s="11"/>
      <c r="N34" s="11"/>
      <c r="O34" s="11"/>
    </row>
    <row r="35" spans="1:16" s="7" customFormat="1" x14ac:dyDescent="0.65">
      <c r="A35" s="11" t="s">
        <v>22</v>
      </c>
      <c r="B35" s="11" t="s">
        <v>159</v>
      </c>
      <c r="C35" s="11" t="s">
        <v>88</v>
      </c>
      <c r="D35" s="11" t="s">
        <v>161</v>
      </c>
      <c r="E35" s="11" t="s">
        <v>160</v>
      </c>
      <c r="G35" s="11"/>
      <c r="H35" s="11"/>
      <c r="I35" s="11"/>
      <c r="P35" s="11"/>
    </row>
    <row r="36" spans="1:16" s="7" customFormat="1" x14ac:dyDescent="0.65">
      <c r="A36" s="11" t="s">
        <v>26</v>
      </c>
      <c r="B36" s="11" t="s">
        <v>116</v>
      </c>
      <c r="C36" s="11" t="s">
        <v>58</v>
      </c>
      <c r="D36" s="11" t="s">
        <v>78</v>
      </c>
      <c r="E36" s="11" t="s">
        <v>121</v>
      </c>
      <c r="F36" s="11" t="s">
        <v>30</v>
      </c>
      <c r="G36" s="11"/>
      <c r="H36" s="11"/>
      <c r="I36" s="11"/>
      <c r="J36" s="11"/>
      <c r="K36" s="11"/>
      <c r="L36" s="11"/>
      <c r="M36" s="11"/>
      <c r="N36" s="11"/>
      <c r="O36" s="11"/>
    </row>
    <row r="37" spans="1:16" s="7" customFormat="1" x14ac:dyDescent="0.65">
      <c r="A37" s="11" t="s">
        <v>33</v>
      </c>
      <c r="B37" s="11" t="s">
        <v>159</v>
      </c>
      <c r="C37" s="11" t="s">
        <v>120</v>
      </c>
      <c r="D37" s="11" t="s">
        <v>87</v>
      </c>
      <c r="F37" s="11"/>
      <c r="G37" s="11"/>
      <c r="H37" s="11"/>
      <c r="I37" s="11"/>
      <c r="J37" s="11"/>
      <c r="K37" s="11"/>
      <c r="L37" s="11"/>
      <c r="M37" s="11"/>
      <c r="N37" s="11"/>
      <c r="O37" s="11"/>
    </row>
    <row r="38" spans="1:16" s="7" customFormat="1" x14ac:dyDescent="0.65">
      <c r="A38" s="11" t="s">
        <v>33</v>
      </c>
      <c r="B38" s="11" t="s">
        <v>161</v>
      </c>
      <c r="C38" s="11" t="s">
        <v>120</v>
      </c>
      <c r="D38" s="11"/>
      <c r="E38" s="11"/>
      <c r="G38" s="11"/>
      <c r="H38" s="11"/>
      <c r="I38" s="11"/>
      <c r="J38" s="11"/>
      <c r="K38" s="11"/>
      <c r="L38" s="11"/>
      <c r="M38" s="11"/>
      <c r="N38" s="11"/>
      <c r="O38" s="11"/>
    </row>
    <row r="39" spans="1:16" s="7" customFormat="1" x14ac:dyDescent="0.65">
      <c r="A39" s="11" t="s">
        <v>33</v>
      </c>
      <c r="B39" s="11" t="s">
        <v>115</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160</v>
      </c>
      <c r="C41" s="11" t="s">
        <v>84</v>
      </c>
      <c r="D41" s="11"/>
      <c r="E41" s="11"/>
      <c r="F41" s="11"/>
      <c r="G41" s="11"/>
      <c r="H41" s="11"/>
      <c r="I41" s="11"/>
      <c r="J41" s="11"/>
      <c r="K41" s="11"/>
      <c r="L41" s="11"/>
      <c r="M41" s="11"/>
      <c r="N41" s="11"/>
      <c r="O41" s="11"/>
    </row>
    <row r="42" spans="1:16" s="7" customFormat="1" x14ac:dyDescent="0.65">
      <c r="A42" s="11" t="s">
        <v>33</v>
      </c>
      <c r="B42" s="11" t="s">
        <v>121</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152</v>
      </c>
      <c r="C44" s="11" t="s">
        <v>156</v>
      </c>
      <c r="D44" s="11" t="s">
        <v>154</v>
      </c>
      <c r="E44" s="11" t="s">
        <v>155</v>
      </c>
      <c r="F44" s="11"/>
      <c r="G44" s="11"/>
      <c r="H44" s="11"/>
      <c r="I44" s="11"/>
      <c r="J44" s="11"/>
      <c r="K44" s="11"/>
      <c r="L44" s="11"/>
      <c r="M44" s="11"/>
      <c r="N44" s="11"/>
      <c r="O44" s="11"/>
    </row>
    <row r="45" spans="1:16" s="7" customFormat="1" x14ac:dyDescent="0.65">
      <c r="A45" s="11" t="s">
        <v>33</v>
      </c>
      <c r="B45" s="11" t="s">
        <v>153</v>
      </c>
      <c r="C45" s="11" t="s">
        <v>157</v>
      </c>
      <c r="D45" s="11" t="s">
        <v>158</v>
      </c>
      <c r="E45" s="11"/>
      <c r="F45" s="11"/>
      <c r="G45" s="11"/>
      <c r="H45" s="11"/>
      <c r="I45" s="11"/>
      <c r="J45" s="11"/>
      <c r="K45" s="11"/>
      <c r="L45" s="11"/>
      <c r="M45" s="11"/>
      <c r="N45" s="11"/>
      <c r="O45" s="11"/>
    </row>
    <row r="46" spans="1:16" s="7" customFormat="1" x14ac:dyDescent="0.65">
      <c r="A46" s="11" t="s">
        <v>33</v>
      </c>
      <c r="B46" s="11" t="s">
        <v>116</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116</v>
      </c>
      <c r="D54" s="11" t="s">
        <v>56</v>
      </c>
      <c r="E54" s="11" t="s">
        <v>121</v>
      </c>
      <c r="F54" s="11" t="s">
        <v>57</v>
      </c>
      <c r="G54" s="11" t="s">
        <v>160</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96</v>
      </c>
      <c r="F57" s="11">
        <v>0</v>
      </c>
      <c r="G57" s="11" t="s">
        <v>94</v>
      </c>
      <c r="H57" s="11">
        <v>30</v>
      </c>
      <c r="I57" s="11" t="s">
        <v>95</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116</v>
      </c>
      <c r="D59" s="11">
        <v>1</v>
      </c>
      <c r="E59" s="11" t="s">
        <v>58</v>
      </c>
      <c r="F59" s="11">
        <v>1</v>
      </c>
      <c r="G59" s="11" t="s">
        <v>78</v>
      </c>
      <c r="H59" s="11">
        <v>1E-4</v>
      </c>
      <c r="I59" s="7" t="s">
        <v>121</v>
      </c>
      <c r="J59" s="7">
        <v>0</v>
      </c>
      <c r="K59" s="11"/>
      <c r="L59" s="11"/>
      <c r="M59" s="11"/>
      <c r="N59" s="11"/>
      <c r="O59" s="11"/>
    </row>
    <row r="60" spans="1:16" s="7" customFormat="1" x14ac:dyDescent="0.65">
      <c r="A60" s="11" t="s">
        <v>41</v>
      </c>
      <c r="B60" s="11" t="s">
        <v>51</v>
      </c>
      <c r="C60" s="11" t="s">
        <v>159</v>
      </c>
      <c r="D60" s="11">
        <v>1</v>
      </c>
      <c r="E60" s="11" t="s">
        <v>160</v>
      </c>
      <c r="F60" s="11">
        <v>1</v>
      </c>
      <c r="G60" s="11" t="s">
        <v>161</v>
      </c>
      <c r="H60" s="11">
        <v>0</v>
      </c>
      <c r="I60" s="11" t="s">
        <v>88</v>
      </c>
      <c r="J60" s="11">
        <v>1</v>
      </c>
      <c r="M60" s="11"/>
      <c r="N60" s="11"/>
      <c r="O60" s="11"/>
      <c r="P60" s="11"/>
    </row>
    <row r="61" spans="1:16" s="7" customFormat="1" x14ac:dyDescent="0.6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116</v>
      </c>
      <c r="D63" s="11">
        <v>0</v>
      </c>
      <c r="E63" s="11" t="s">
        <v>78</v>
      </c>
      <c r="F63" s="11">
        <v>1E-4</v>
      </c>
      <c r="G63" s="11"/>
      <c r="H63" s="11"/>
      <c r="I63" s="11"/>
      <c r="J63" s="11"/>
      <c r="K63" s="11"/>
      <c r="L63" s="11"/>
      <c r="M63" s="11"/>
      <c r="N63" s="11"/>
      <c r="O63" s="11"/>
    </row>
    <row r="64" spans="1:16" s="7" customFormat="1" x14ac:dyDescent="0.65">
      <c r="A64" s="11" t="s">
        <v>43</v>
      </c>
      <c r="B64" s="11" t="s">
        <v>51</v>
      </c>
      <c r="C64" s="11" t="s">
        <v>159</v>
      </c>
      <c r="D64" s="11">
        <v>0</v>
      </c>
      <c r="E64" s="11"/>
      <c r="F64" s="11"/>
      <c r="G64" s="11"/>
      <c r="H64" s="11"/>
      <c r="I64" s="11"/>
      <c r="J64" s="11"/>
      <c r="K64" s="11"/>
      <c r="L64" s="11"/>
      <c r="M64" s="11"/>
      <c r="N64" s="11"/>
      <c r="O64" s="11"/>
    </row>
    <row r="65" spans="1:15" s="7" customFormat="1" x14ac:dyDescent="0.65">
      <c r="A65" s="11" t="s">
        <v>44</v>
      </c>
      <c r="B65" s="11" t="s">
        <v>48</v>
      </c>
      <c r="C65" s="12" t="s">
        <v>42</v>
      </c>
      <c r="D65" s="11">
        <v>1000000</v>
      </c>
      <c r="E65" s="11" t="s">
        <v>96</v>
      </c>
      <c r="F65" s="11">
        <v>0</v>
      </c>
      <c r="G65" s="11" t="s">
        <v>94</v>
      </c>
      <c r="H65" s="11">
        <v>60</v>
      </c>
      <c r="I65" s="11" t="s">
        <v>95</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116</v>
      </c>
      <c r="D67" s="11">
        <v>0</v>
      </c>
      <c r="E67" s="11" t="s">
        <v>78</v>
      </c>
      <c r="F67" s="11">
        <v>1E-4</v>
      </c>
      <c r="G67" s="11"/>
      <c r="H67" s="11"/>
      <c r="I67" s="11"/>
      <c r="J67" s="11"/>
      <c r="K67" s="11"/>
      <c r="L67" s="11"/>
      <c r="M67" s="11"/>
      <c r="N67" s="11"/>
      <c r="O67" s="11"/>
    </row>
    <row r="68" spans="1:15" s="7" customFormat="1" x14ac:dyDescent="0.65">
      <c r="A68" s="11" t="s">
        <v>44</v>
      </c>
      <c r="B68" s="11" t="s">
        <v>51</v>
      </c>
      <c r="C68" s="11" t="s">
        <v>159</v>
      </c>
      <c r="D68" s="11">
        <v>0</v>
      </c>
      <c r="E68" s="11"/>
      <c r="F68" s="11"/>
      <c r="G68" s="11"/>
      <c r="H68" s="11"/>
      <c r="I68" s="11"/>
      <c r="J68" s="11"/>
      <c r="K68" s="11"/>
      <c r="L68" s="11"/>
      <c r="M68" s="11"/>
      <c r="N68" s="11"/>
      <c r="O68" s="11"/>
    </row>
    <row r="69" spans="1:15" s="7" customFormat="1" x14ac:dyDescent="0.65">
      <c r="A69" s="11" t="s">
        <v>45</v>
      </c>
      <c r="B69" s="11" t="s">
        <v>48</v>
      </c>
      <c r="C69" s="12" t="s">
        <v>42</v>
      </c>
      <c r="D69" s="11">
        <v>2000000</v>
      </c>
      <c r="E69" s="11" t="s">
        <v>96</v>
      </c>
      <c r="F69" s="11">
        <v>0</v>
      </c>
      <c r="G69" s="11" t="s">
        <v>94</v>
      </c>
      <c r="H69" s="11">
        <v>60</v>
      </c>
      <c r="I69" s="11" t="s">
        <v>95</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116</v>
      </c>
      <c r="D71" s="11">
        <v>0</v>
      </c>
      <c r="E71" s="11" t="s">
        <v>78</v>
      </c>
      <c r="F71" s="11">
        <v>1E-4</v>
      </c>
      <c r="G71" s="11"/>
      <c r="H71" s="11"/>
      <c r="I71" s="11"/>
      <c r="J71" s="11"/>
      <c r="K71" s="11"/>
      <c r="L71" s="11"/>
      <c r="M71" s="11"/>
      <c r="N71" s="11"/>
      <c r="O71" s="11"/>
    </row>
    <row r="72" spans="1:15" s="7" customFormat="1" x14ac:dyDescent="0.65">
      <c r="A72" s="11" t="s">
        <v>45</v>
      </c>
      <c r="B72" s="11" t="s">
        <v>51</v>
      </c>
      <c r="C72" s="11" t="s">
        <v>159</v>
      </c>
      <c r="D72" s="11">
        <v>0</v>
      </c>
      <c r="E72" s="11"/>
      <c r="F72" s="11"/>
      <c r="G72" s="11"/>
      <c r="H72" s="11"/>
      <c r="I72" s="11"/>
      <c r="J72" s="11"/>
      <c r="K72" s="11"/>
      <c r="L72" s="11"/>
      <c r="M72" s="11"/>
      <c r="N72" s="11"/>
      <c r="O72" s="11"/>
    </row>
    <row r="73" spans="1:15" s="7" customFormat="1" x14ac:dyDescent="0.65">
      <c r="A73" s="11" t="s">
        <v>46</v>
      </c>
      <c r="B73" s="11" t="s">
        <v>48</v>
      </c>
      <c r="C73" s="12" t="s">
        <v>42</v>
      </c>
      <c r="D73" s="11">
        <v>2000000</v>
      </c>
      <c r="E73" s="11" t="s">
        <v>96</v>
      </c>
      <c r="F73" s="11">
        <v>0</v>
      </c>
      <c r="G73" s="11" t="s">
        <v>94</v>
      </c>
      <c r="H73" s="11">
        <v>60</v>
      </c>
      <c r="I73" s="11" t="s">
        <v>95</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116</v>
      </c>
      <c r="D75" s="11">
        <v>0</v>
      </c>
      <c r="E75" s="11" t="s">
        <v>78</v>
      </c>
      <c r="F75" s="11">
        <v>1E-4</v>
      </c>
      <c r="G75" s="11"/>
      <c r="H75" s="11"/>
      <c r="I75" s="11"/>
      <c r="J75" s="11"/>
      <c r="K75" s="11"/>
      <c r="L75" s="11"/>
      <c r="M75" s="11"/>
      <c r="N75" s="11"/>
      <c r="O75" s="11"/>
    </row>
    <row r="76" spans="1:15" s="7" customFormat="1" x14ac:dyDescent="0.65">
      <c r="A76" s="11" t="s">
        <v>46</v>
      </c>
      <c r="B76" s="11" t="s">
        <v>51</v>
      </c>
      <c r="C76" s="11" t="s">
        <v>161</v>
      </c>
      <c r="D76" s="11">
        <v>1</v>
      </c>
      <c r="E76" s="11"/>
      <c r="F76" s="11"/>
      <c r="G76" s="11"/>
      <c r="I76" s="11"/>
      <c r="J76" s="11"/>
      <c r="K76" s="11"/>
      <c r="L76" s="11"/>
      <c r="M76" s="11"/>
      <c r="N76" s="11"/>
      <c r="O76" s="11"/>
    </row>
    <row r="77" spans="1:15" s="7" customFormat="1" x14ac:dyDescent="0.6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116</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140</v>
      </c>
      <c r="B81" s="11" t="s">
        <v>48</v>
      </c>
      <c r="C81" s="12" t="s">
        <v>42</v>
      </c>
      <c r="D81" s="11">
        <v>50000</v>
      </c>
      <c r="E81" s="11" t="s">
        <v>96</v>
      </c>
      <c r="F81" s="11">
        <v>0</v>
      </c>
      <c r="G81" s="11" t="s">
        <v>94</v>
      </c>
      <c r="H81" s="11">
        <v>100</v>
      </c>
      <c r="I81" s="11" t="s">
        <v>95</v>
      </c>
      <c r="J81" s="11">
        <v>2</v>
      </c>
      <c r="K81" s="11"/>
      <c r="L81" s="11"/>
      <c r="M81" s="11"/>
      <c r="N81" s="11"/>
      <c r="O81" s="11"/>
    </row>
    <row r="82" spans="1:16" s="7" customFormat="1" x14ac:dyDescent="0.65">
      <c r="A82" s="11" t="s">
        <v>140</v>
      </c>
      <c r="B82" s="11" t="s">
        <v>49</v>
      </c>
      <c r="C82" s="12" t="s">
        <v>6</v>
      </c>
      <c r="D82" s="11">
        <v>1</v>
      </c>
      <c r="E82" s="11"/>
      <c r="F82" s="11"/>
      <c r="G82" s="11"/>
      <c r="H82" s="11"/>
      <c r="I82" s="11"/>
      <c r="J82" s="11"/>
      <c r="K82" s="11"/>
      <c r="L82" s="11"/>
      <c r="M82" s="11"/>
      <c r="N82" s="11"/>
      <c r="O82" s="11"/>
    </row>
    <row r="83" spans="1:16" s="7" customFormat="1" x14ac:dyDescent="0.65">
      <c r="A83" s="11" t="s">
        <v>140</v>
      </c>
      <c r="B83" s="11" t="s">
        <v>50</v>
      </c>
      <c r="C83" s="12" t="s">
        <v>116</v>
      </c>
      <c r="D83" s="11">
        <v>0</v>
      </c>
      <c r="E83" s="11" t="s">
        <v>58</v>
      </c>
      <c r="F83" s="11">
        <v>0</v>
      </c>
      <c r="G83" s="11" t="s">
        <v>78</v>
      </c>
      <c r="H83" s="11">
        <v>1E-4</v>
      </c>
      <c r="I83" s="7" t="s">
        <v>121</v>
      </c>
      <c r="J83" s="7">
        <v>1</v>
      </c>
      <c r="K83" s="11"/>
      <c r="L83" s="11"/>
      <c r="M83" s="11"/>
      <c r="N83" s="11"/>
      <c r="O83" s="11"/>
    </row>
    <row r="84" spans="1:16" s="7" customFormat="1" x14ac:dyDescent="0.65">
      <c r="A84" s="11" t="s">
        <v>140</v>
      </c>
      <c r="B84" s="11" t="s">
        <v>51</v>
      </c>
      <c r="C84" s="11" t="s">
        <v>159</v>
      </c>
      <c r="D84" s="11">
        <v>0</v>
      </c>
      <c r="E84" s="11" t="s">
        <v>160</v>
      </c>
      <c r="F84" s="11">
        <v>0</v>
      </c>
      <c r="G84" s="11" t="s">
        <v>161</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E30" sqref="E30"/>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28" spans="5:11" x14ac:dyDescent="0.65">
      <c r="E28" s="2"/>
      <c r="G28" s="2"/>
      <c r="I28" s="2"/>
      <c r="K28" s="2"/>
    </row>
    <row r="39" spans="5:11" x14ac:dyDescent="0.6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2019-07-22T18:21:13Z</dcterms:modified>
</cp:coreProperties>
</file>
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5333" windowHeight="4583"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F18" i="3" l="1"/>
  <c r="H18" i="3" l="1"/>
  <c r="A56" i="4"/>
  <c r="E11" i="4"/>
  <c r="C11" i="4"/>
  <c r="E5" i="4"/>
  <c r="C19" i="3" l="1"/>
  <c r="C18" i="3"/>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<sst xmlns="http://schemas.openxmlformats.org/spreadsheetml/2006/main" count="1696" uniqueCount="179">
  <si>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</si>
  <si>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</si>
  <si>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</si>
  <si>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</si>
  <si>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</si>
  <si>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</si>
  <si>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</si>
  <si>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</si>
  <si>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</si>
  <si>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</si>
  <si>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</si>
  <si>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</si>
  <si>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</si>
  <si>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</si>
  <si>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</si>
  <si>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</si>
  <si>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</si>
  <si>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</si>
  <si>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</si>
  <si>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</si>
  <si>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</si>
  <si>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</si>
  <si>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</si>
  <si>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</si>
  <si>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</si>
  <si>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</si>
  <si>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</si>
  <si>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</si>
  <si>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</si>
  <si>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</si>
  <si>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</si>
  <si>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</si>
  <si>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</si>
  <si>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</si>
  <si>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</si>
  <si>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</si>
  <si>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</si>
  <si>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</si>
  <si>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</si>
  <si>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</si>
  <si>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</si>
  <si>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</si>
  <si>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</si>
  <si>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</si>
  <si>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</si>
  <si>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</si>
  <si>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</si>
  <si>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</si>
  <si>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</si>
  <si>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</si>
  <si>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</si>
  <si>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</si>
  <si>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</si>
  <si>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</si>
  <si>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</si>
  <si>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</si>
  <si>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</si>
  <si>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</si>
  <si>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</si>
  <si>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</si>
  <si>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</si>
  <si>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</si>
  <si>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</si>
  <si>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</si>
  <si>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</si>
  <si>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</si>
  <si>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</si>
  <si>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</si>
  <si>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</si>
  <si>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</si>
  <si>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</si>
  <si>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</si>
  <si>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</si>
  <si>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</si>
  <si>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</si>
  <si>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</si>
  <si>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</si>
  <si>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</si>
  <si>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</si>
  <si>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</si>
  <si>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</si>
  <si>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</si>
  <si>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</si>
  <si>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</si>
  <si>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</si>
  <si>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</si>
  <si>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</si>
  <si>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</si>
  <si>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</si>
  <si>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</si>
  <si>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</si>
  <si>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</si>
  <si>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</si>
  <si>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</si>
  <si>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</si>
  <si>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</si>
  <si>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</si>
  <si>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</si>
  <si>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</si>
  <si>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</si>
  <si>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</si>
  <si>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</si>
  <si>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</si>
  <si>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</si>
  <si>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</si>
  <si>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</si>
  <si>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</si>
  <si>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</si>
  <si>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</si>
  <si>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</si>
  <si>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</si>
  <si>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</si>
  <si>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</si>
  <si>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</si>
  <si>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</si>
  <si>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</si>
  <si>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</si>
  <si>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</si>
  <si>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</si>
  <si>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</si>
  <si>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</si>
  <si>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</si>
  <si>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</si>
  <si>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</si>
  <si>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</si>
  <si>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</si>
  <si>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</si>
  <si>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</si>
  <si>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</si>
  <si>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</si>
  <si>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</si>
  <si>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</si>
  <si>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</si>
  <si>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</si>
  <si>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</si>
  <si>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</si>
  <si>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</si>
  <si>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</si>
  <si>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</si>
  <si>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</si>
  <si>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</si>
  <si>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</si>
  <si>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</si>
  <si>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</si>
  <si>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</si>
  <si>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</si>
  <si>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</si>
  <si>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</si>
  <si>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</si>
  <si>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</si>
  <si>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</si>
  <si>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</si>
  <si>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</si>
  <si>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</si>
  <si>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</si>
  <si>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</si>
  <si>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</si>
  <si>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</si>
  <si>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</si>
  <si>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</si>
  <si>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</si>
  <si>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</si>
  <si>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</si>
  <si>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</si>
  <si>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</si>
  <si>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</si>
  <si>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x</t>
  </si>
  <si>
    <t>tub</t>
  </si>
  <si>
    <t>ERGolgiIC</t>
  </si>
  <si>
    <t>memL</t>
  </si>
  <si>
    <t>memS</t>
  </si>
  <si>
    <t>memERGIC</t>
  </si>
  <si>
    <t>memGolgiMedial</t>
  </si>
  <si>
    <t>memTGN</t>
  </si>
  <si>
    <t>memLS</t>
  </si>
  <si>
    <t>memTub</t>
  </si>
  <si>
    <t>solL</t>
  </si>
  <si>
    <t>solS</t>
  </si>
  <si>
    <t>RabE10</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</si>
</sst>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R103"/>
  <sheetViews>
    <sheetView zoomScale="90" zoomScaleNormal="90" workbookViewId="0">
      <selection sqref="A1:AF90"/>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35</v>
      </c>
      <c r="D2" s="11" t="s">
        <v>64</v>
      </c>
      <c r="E2" s="11">
        <v>0.5</v>
      </c>
      <c r="F2" s="11" t="s">
        <v>69</v>
      </c>
      <c r="G2" s="11">
        <v>0.5</v>
      </c>
      <c r="H2" s="11" t="s">
        <v>95</v>
      </c>
      <c r="I2" s="11">
        <v>1</v>
      </c>
      <c r="N2" s="11"/>
      <c r="O2" s="11"/>
    </row>
    <row r="3" spans="1:16" s="7" customFormat="1" x14ac:dyDescent="0.45">
      <c r="A3" s="11" t="s">
        <v>1</v>
      </c>
      <c r="B3" s="11" t="s">
        <v>97</v>
      </c>
      <c r="C3" s="12">
        <v>1</v>
      </c>
      <c r="D3" s="7" t="s">
        <v>158</v>
      </c>
      <c r="E3" s="11">
        <v>0</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C5" s="2">
        <f>1500*1500/(E2^2)</f>
        <v>9000000</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0</v>
      </c>
      <c r="D20" s="7" t="s">
        <v>140</v>
      </c>
      <c r="E20" s="7">
        <v>1</v>
      </c>
    </row>
    <row r="21" spans="1:15" s="7" customFormat="1" x14ac:dyDescent="0.45">
      <c r="A21" s="11" t="s">
        <v>13</v>
      </c>
      <c r="B21" s="11" t="s">
        <v>19</v>
      </c>
      <c r="C21" s="7">
        <v>0</v>
      </c>
      <c r="D21" s="11" t="s">
        <v>15</v>
      </c>
      <c r="E21" s="12">
        <v>0</v>
      </c>
      <c r="F21" s="11" t="s">
        <v>141</v>
      </c>
      <c r="G21" s="7">
        <v>1</v>
      </c>
      <c r="H21" s="11"/>
      <c r="I21" s="11"/>
      <c r="J21" s="11"/>
      <c r="K21" s="11"/>
      <c r="L21" s="11"/>
      <c r="M21" s="11"/>
      <c r="N21" s="11"/>
      <c r="O21" s="11"/>
    </row>
    <row r="22" spans="1:15" s="7" customFormat="1" x14ac:dyDescent="0.45">
      <c r="A22" s="11" t="s">
        <v>13</v>
      </c>
      <c r="B22" s="11" t="s">
        <v>71</v>
      </c>
      <c r="C22" s="12">
        <v>0</v>
      </c>
      <c r="D22" s="7" t="s">
        <v>60</v>
      </c>
      <c r="E22" s="7">
        <v>0</v>
      </c>
      <c r="F22" s="11" t="s">
        <v>16</v>
      </c>
      <c r="G22" s="12">
        <v>0</v>
      </c>
      <c r="H22" s="7" t="s">
        <v>142</v>
      </c>
      <c r="I22" s="7">
        <v>1</v>
      </c>
      <c r="J22" s="11"/>
      <c r="K22" s="11"/>
      <c r="L22" s="11"/>
      <c r="M22" s="11"/>
      <c r="N22" s="11"/>
      <c r="O22" s="11"/>
    </row>
    <row r="23" spans="1:15" s="7" customFormat="1" x14ac:dyDescent="0.45">
      <c r="A23" s="11" t="s">
        <v>13</v>
      </c>
      <c r="B23" s="11" t="s">
        <v>20</v>
      </c>
      <c r="C23" s="12">
        <v>0</v>
      </c>
      <c r="D23" s="7" t="s">
        <v>72</v>
      </c>
      <c r="E23" s="7">
        <v>0</v>
      </c>
      <c r="F23" s="7" t="s">
        <v>74</v>
      </c>
      <c r="G23" s="7">
        <v>0</v>
      </c>
      <c r="H23" s="11" t="s">
        <v>17</v>
      </c>
      <c r="I23" s="12">
        <v>0</v>
      </c>
      <c r="J23" s="7" t="s">
        <v>143</v>
      </c>
      <c r="K23" s="7">
        <v>1</v>
      </c>
      <c r="L23" s="11"/>
      <c r="M23" s="11"/>
      <c r="N23" s="11"/>
      <c r="O23" s="11"/>
    </row>
    <row r="24" spans="1:15" s="7" customFormat="1" x14ac:dyDescent="0.45">
      <c r="A24" s="11" t="s">
        <v>13</v>
      </c>
      <c r="B24" s="11" t="s">
        <v>70</v>
      </c>
      <c r="C24" s="12">
        <v>0</v>
      </c>
      <c r="D24" s="7" t="s">
        <v>73</v>
      </c>
      <c r="E24" s="7">
        <v>0</v>
      </c>
      <c r="F24" s="7" t="s">
        <v>21</v>
      </c>
      <c r="G24" s="7">
        <v>0</v>
      </c>
      <c r="H24" s="7" t="s">
        <v>75</v>
      </c>
      <c r="I24" s="7">
        <v>0</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-1</v>
      </c>
      <c r="D31" s="11" t="s">
        <v>7</v>
      </c>
      <c r="E31" s="12">
        <v>-1</v>
      </c>
      <c r="F31" s="11" t="s">
        <v>8</v>
      </c>
      <c r="G31" s="12">
        <v>-1</v>
      </c>
      <c r="H31" s="11" t="s">
        <v>9</v>
      </c>
      <c r="I31" s="12">
        <v>-1</v>
      </c>
      <c r="J31" s="11" t="s">
        <v>10</v>
      </c>
      <c r="K31" s="12">
        <v>-1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v>
      </c>
      <c r="L33" s="11"/>
      <c r="M33" s="11"/>
      <c r="N33" s="11"/>
      <c r="O33" s="11"/>
    </row>
    <row r="34" spans="1:16" s="7" customFormat="1" x14ac:dyDescent="0.45">
      <c r="A34" s="11" t="s">
        <v>98</v>
      </c>
      <c r="B34" t="s">
        <v>6</v>
      </c>
      <c r="C34" t="s">
        <v>168</v>
      </c>
      <c r="D34" t="s">
        <v>7</v>
      </c>
      <c r="E34" t="s">
        <v>99</v>
      </c>
      <c r="F34" t="s">
        <v>8</v>
      </c>
      <c r="G34" t="s">
        <v>144</v>
      </c>
      <c r="H34" t="s">
        <v>9</v>
      </c>
      <c r="I34" t="s">
        <v>100</v>
      </c>
      <c r="J34" t="s">
        <v>10</v>
      </c>
      <c r="K34" t="s">
        <v>159</v>
      </c>
      <c r="L34"/>
      <c r="M34" s="11"/>
      <c r="N34" s="11"/>
      <c r="O34" s="11"/>
    </row>
    <row r="35" spans="1:16" s="7" customFormat="1" x14ac:dyDescent="0.45">
      <c r="A35" s="11" t="s">
        <v>22</v>
      </c>
      <c r="B35" t="s">
        <v>169</v>
      </c>
      <c r="C35" t="s">
        <v>170</v>
      </c>
      <c r="D35" t="s">
        <v>171</v>
      </c>
      <c r="E35" t="s">
        <v>172</v>
      </c>
      <c r="F35" t="s">
        <v>173</v>
      </c>
      <c r="G35" t="s">
        <v>174</v>
      </c>
      <c r="H35" t="s">
        <v>175</v>
      </c>
      <c r="I35" t="s">
        <v>87</v>
      </c>
      <c r="J35"/>
      <c r="K35"/>
      <c r="L35"/>
      <c r="P35" s="11"/>
    </row>
    <row r="36" spans="1:16" s="7" customFormat="1" x14ac:dyDescent="0.45">
      <c r="A36" s="11" t="s">
        <v>26</v>
      </c>
      <c r="B36" t="s">
        <v>176</v>
      </c>
      <c r="C36" t="s">
        <v>177</v>
      </c>
      <c r="D36" t="s">
        <v>58</v>
      </c>
      <c r="E36" t="s">
        <v>78</v>
      </c>
      <c r="F36" s="11" t="s">
        <v>30</v>
      </c>
      <c r="G36"/>
      <c r="H36"/>
      <c r="I36"/>
      <c r="J36"/>
      <c r="K36"/>
      <c r="L36"/>
      <c r="M36" s="11"/>
      <c r="N36" s="11"/>
      <c r="O36" s="11"/>
    </row>
    <row r="37" spans="1:16" s="7" customFormat="1" x14ac:dyDescent="0.45">
      <c r="A37" s="11" t="s">
        <v>33</v>
      </c>
      <c r="B37" t="s">
        <v>169</v>
      </c>
      <c r="C37" t="s">
        <v>86</v>
      </c>
      <c r="D37"/>
      <c r="E37"/>
      <c r="F37"/>
      <c r="G37"/>
      <c r="H37"/>
      <c r="I37"/>
      <c r="J37"/>
      <c r="K37"/>
      <c r="L37"/>
      <c r="M37" s="11"/>
      <c r="N37" s="11"/>
      <c r="O37" s="11"/>
    </row>
    <row r="38" spans="1:16" s="7" customFormat="1" x14ac:dyDescent="0.45">
      <c r="A38" s="11" t="s">
        <v>33</v>
      </c>
      <c r="B38" t="s">
        <v>170</v>
      </c>
      <c r="C38"/>
      <c r="D38"/>
      <c r="E38"/>
      <c r="F38"/>
      <c r="G38"/>
      <c r="H38"/>
      <c r="I38"/>
      <c r="J38"/>
      <c r="K38"/>
      <c r="L38"/>
      <c r="M38" s="11"/>
      <c r="N38" s="11"/>
      <c r="O38" s="11"/>
    </row>
    <row r="39" spans="1:16" s="7" customFormat="1" x14ac:dyDescent="0.45">
      <c r="A39" s="11" t="s">
        <v>33</v>
      </c>
      <c r="B39" t="s">
        <v>171</v>
      </c>
      <c r="C39" t="s">
        <v>104</v>
      </c>
      <c r="D39"/>
      <c r="E39"/>
      <c r="F39"/>
      <c r="G39"/>
      <c r="H39"/>
      <c r="I39"/>
      <c r="J39"/>
      <c r="K39"/>
      <c r="L39"/>
      <c r="M39" s="11"/>
      <c r="N39" s="11"/>
      <c r="O39" s="11"/>
    </row>
    <row r="40" spans="1:16" s="7" customFormat="1" x14ac:dyDescent="0.45">
      <c r="A40" s="11" t="s">
        <v>33</v>
      </c>
      <c r="B40" t="s">
        <v>172</v>
      </c>
      <c r="C40" t="s">
        <v>85</v>
      </c>
      <c r="D40"/>
      <c r="E40"/>
      <c r="F40"/>
      <c r="G40"/>
      <c r="H40"/>
      <c r="I40"/>
      <c r="J40"/>
      <c r="K40"/>
      <c r="L40"/>
      <c r="M40" s="11"/>
      <c r="N40" s="11"/>
      <c r="O40" s="11"/>
    </row>
    <row r="41" spans="1:16" s="7" customFormat="1" x14ac:dyDescent="0.45">
      <c r="A41" s="11" t="s">
        <v>11</v>
      </c>
      <c r="B41" t="s">
        <v>173</v>
      </c>
      <c r="C41" t="s">
        <v>178</v>
      </c>
      <c r="D41"/>
      <c r="E41"/>
      <c r="F41"/>
      <c r="G41"/>
      <c r="H41"/>
      <c r="I41"/>
      <c r="J41"/>
      <c r="K41"/>
      <c r="L41"/>
      <c r="M41" s="11"/>
      <c r="N41" s="11"/>
      <c r="O41" s="11"/>
    </row>
    <row r="42" spans="1:16" s="7" customFormat="1" x14ac:dyDescent="0.45">
      <c r="A42" s="11" t="s">
        <v>33</v>
      </c>
      <c r="B42" t="s">
        <v>174</v>
      </c>
      <c r="C42" t="s">
        <v>86</v>
      </c>
      <c r="D42"/>
      <c r="E42"/>
      <c r="F42"/>
      <c r="G42"/>
      <c r="H42"/>
      <c r="I42"/>
      <c r="J42"/>
      <c r="K42"/>
      <c r="L42"/>
      <c r="M42" s="11"/>
      <c r="N42" s="11"/>
      <c r="O42" s="11"/>
    </row>
    <row r="43" spans="1:16" s="7" customFormat="1" x14ac:dyDescent="0.45">
      <c r="A43" s="11" t="s">
        <v>33</v>
      </c>
      <c r="B43" t="s">
        <v>175</v>
      </c>
      <c r="C43" t="s">
        <v>167</v>
      </c>
      <c r="D43"/>
      <c r="E43"/>
      <c r="F43"/>
      <c r="G43"/>
      <c r="H43"/>
      <c r="I43"/>
      <c r="J43"/>
      <c r="K43"/>
      <c r="L43"/>
      <c r="M43" s="11"/>
      <c r="N43" s="11"/>
      <c r="O43" s="11"/>
    </row>
    <row r="44" spans="1:16" s="7" customFormat="1" x14ac:dyDescent="0.45">
      <c r="A44" s="11" t="s">
        <v>33</v>
      </c>
      <c r="B44" t="s">
        <v>87</v>
      </c>
      <c r="C44" t="s">
        <v>86</v>
      </c>
      <c r="D44"/>
      <c r="E44"/>
      <c r="F44"/>
      <c r="G44"/>
      <c r="H44"/>
      <c r="I44"/>
      <c r="J44"/>
      <c r="K44"/>
      <c r="L44"/>
      <c r="M44" s="11"/>
      <c r="N44" s="11"/>
      <c r="O44" s="11"/>
    </row>
    <row r="45" spans="1:16" s="7" customFormat="1" x14ac:dyDescent="0.45">
      <c r="A45" s="11" t="s">
        <v>33</v>
      </c>
      <c r="B45" t="s">
        <v>176</v>
      </c>
      <c r="C45" t="s">
        <v>86</v>
      </c>
      <c r="D45"/>
      <c r="E45"/>
      <c r="F45"/>
      <c r="G45"/>
      <c r="H45"/>
      <c r="I45"/>
      <c r="J45"/>
      <c r="K45"/>
      <c r="L45"/>
      <c r="M45" s="11"/>
      <c r="N45" s="11"/>
      <c r="O45" s="11"/>
    </row>
    <row r="46" spans="1:16" s="7" customFormat="1" x14ac:dyDescent="0.45">
      <c r="A46" s="11" t="s">
        <v>33</v>
      </c>
      <c r="B46" t="s">
        <v>177</v>
      </c>
      <c r="C46"/>
      <c r="D46"/>
      <c r="E46"/>
      <c r="F46"/>
      <c r="G46"/>
      <c r="H46"/>
      <c r="I46"/>
      <c r="J46"/>
      <c r="K46"/>
      <c r="L46"/>
      <c r="M46" s="11"/>
      <c r="N46" s="11"/>
      <c r="O46" s="11"/>
    </row>
    <row r="47" spans="1:16" s="7" customFormat="1" x14ac:dyDescent="0.45">
      <c r="A47" s="11" t="s">
        <v>33</v>
      </c>
      <c r="B47" t="s">
        <v>58</v>
      </c>
      <c r="C47"/>
      <c r="D47"/>
      <c r="E47"/>
      <c r="F47"/>
      <c r="G47"/>
      <c r="H47"/>
      <c r="I47"/>
      <c r="J47"/>
      <c r="K47"/>
      <c r="L47"/>
      <c r="M47" s="11"/>
      <c r="N47" s="11"/>
      <c r="O47" s="11"/>
    </row>
    <row r="48" spans="1:16" s="7" customFormat="1" x14ac:dyDescent="0.45">
      <c r="A48" s="11" t="s">
        <v>33</v>
      </c>
      <c r="B48" s="11" t="s">
        <v>78</v>
      </c>
      <c r="C48" s="11"/>
      <c r="F48" s="11"/>
      <c r="G48" s="11"/>
      <c r="H48" s="11"/>
      <c r="I48" s="11"/>
      <c r="J48" s="11"/>
      <c r="K48" s="11"/>
      <c r="L48" s="11"/>
      <c r="M48" s="11"/>
      <c r="N48" s="11"/>
      <c r="O48" s="11"/>
    </row>
    <row r="49" spans="1:18" s="7" customFormat="1" x14ac:dyDescent="0.45">
      <c r="A49" s="11" t="s">
        <v>11</v>
      </c>
      <c r="B49" s="11"/>
      <c r="C49" s="11"/>
      <c r="F49" s="11"/>
      <c r="G49" s="11"/>
      <c r="H49" s="11"/>
      <c r="I49" s="11"/>
      <c r="J49" s="11"/>
      <c r="K49" s="11"/>
      <c r="L49" s="11"/>
      <c r="M49" s="11"/>
      <c r="N49" s="11"/>
      <c r="O49" s="11"/>
    </row>
    <row r="50" spans="1:18" s="7" customFormat="1" x14ac:dyDescent="0.45">
      <c r="A50" s="11" t="s">
        <v>11</v>
      </c>
      <c r="B50" s="11"/>
      <c r="C50" s="11"/>
      <c r="F50" s="11"/>
      <c r="G50" s="11"/>
      <c r="H50" s="11"/>
      <c r="I50" s="11"/>
      <c r="J50" s="11"/>
      <c r="K50" s="11"/>
      <c r="L50" s="11"/>
      <c r="M50" s="11"/>
      <c r="N50" s="11"/>
      <c r="O50" s="11"/>
    </row>
    <row r="51" spans="1:18" x14ac:dyDescent="0.45">
      <c r="A51" s="1" t="s">
        <v>11</v>
      </c>
    </row>
    <row r="52" spans="1:18" x14ac:dyDescent="0.45">
      <c r="A52" s="1" t="s">
        <v>11</v>
      </c>
    </row>
    <row r="53" spans="1:18" s="7" customFormat="1" x14ac:dyDescent="0.45">
      <c r="A53" s="11" t="s">
        <v>11</v>
      </c>
      <c r="B53" s="11" t="s">
        <v>166</v>
      </c>
      <c r="C53" s="12"/>
      <c r="D53" s="11"/>
      <c r="E53" s="11"/>
      <c r="F53" s="11"/>
      <c r="G53" s="11"/>
      <c r="H53" s="11"/>
      <c r="I53" s="11"/>
      <c r="J53" s="11"/>
      <c r="K53" s="11"/>
      <c r="L53" s="11"/>
      <c r="M53" s="11"/>
      <c r="N53" s="11"/>
      <c r="O53" s="11"/>
    </row>
    <row r="54" spans="1:18" s="7" customFormat="1" x14ac:dyDescent="0.45">
      <c r="A54" s="11" t="s">
        <v>54</v>
      </c>
      <c r="B54" s="11" t="s">
        <v>55</v>
      </c>
      <c r="C54" s="12" t="s">
        <v>87</v>
      </c>
      <c r="D54" s="11" t="s">
        <v>56</v>
      </c>
      <c r="E54" s="11" t="s">
        <v>58</v>
      </c>
      <c r="F54" s="11" t="s">
        <v>57</v>
      </c>
      <c r="G54" s="11" t="s">
        <v>174</v>
      </c>
      <c r="H54" s="11"/>
      <c r="I54" s="11"/>
      <c r="J54" s="11"/>
      <c r="K54" s="11"/>
      <c r="L54" s="11"/>
      <c r="M54" s="11"/>
      <c r="N54" s="11"/>
      <c r="O54" s="11"/>
    </row>
    <row r="55" spans="1:18" s="7" customFormat="1" x14ac:dyDescent="0.45">
      <c r="A55" s="13" t="s">
        <v>52</v>
      </c>
      <c r="B55" s="11"/>
      <c r="C55" s="12"/>
      <c r="D55" s="11"/>
      <c r="E55" s="11"/>
      <c r="F55" s="11"/>
      <c r="G55" s="11"/>
      <c r="H55" s="11"/>
      <c r="I55" s="11"/>
      <c r="J55" s="11"/>
      <c r="K55" s="11"/>
      <c r="L55" s="11"/>
      <c r="M55" s="11"/>
      <c r="N55" s="11"/>
      <c r="O55" s="11"/>
    </row>
    <row r="56" spans="1:18"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8" s="7" customFormat="1" x14ac:dyDescent="0.45">
      <c r="A57" s="11" t="s">
        <v>41</v>
      </c>
      <c r="B57" s="11" t="s">
        <v>48</v>
      </c>
      <c r="C57" s="12" t="s">
        <v>42</v>
      </c>
      <c r="D57" s="11">
        <v>20000</v>
      </c>
      <c r="E57" s="11" t="s">
        <v>92</v>
      </c>
      <c r="F57" s="11">
        <v>0</v>
      </c>
      <c r="G57" s="11" t="s">
        <v>90</v>
      </c>
      <c r="H57" s="11">
        <v>260</v>
      </c>
      <c r="I57" s="11" t="s">
        <v>91</v>
      </c>
      <c r="J57" s="11">
        <v>2</v>
      </c>
      <c r="K57" s="11"/>
      <c r="L57" s="11"/>
      <c r="M57" s="11"/>
      <c r="N57" s="11"/>
      <c r="O57" s="11"/>
    </row>
    <row r="58" spans="1:18" s="7" customFormat="1" x14ac:dyDescent="0.45">
      <c r="A58" s="11" t="s">
        <v>41</v>
      </c>
      <c r="B58" s="11" t="s">
        <v>49</v>
      </c>
      <c r="C58" s="12" t="s">
        <v>6</v>
      </c>
      <c r="D58" s="11">
        <v>1</v>
      </c>
      <c r="E58" s="11"/>
      <c r="F58" s="11"/>
      <c r="G58" s="11"/>
      <c r="H58" s="11"/>
      <c r="I58" s="11"/>
      <c r="J58" s="11"/>
      <c r="K58" s="11"/>
      <c r="L58" s="11"/>
      <c r="M58" s="11"/>
      <c r="N58" s="11"/>
      <c r="O58" s="11"/>
    </row>
    <row r="59" spans="1:18" s="7" customFormat="1" x14ac:dyDescent="0.45">
      <c r="A59" s="11" t="s">
        <v>41</v>
      </c>
      <c r="B59" s="11" t="s">
        <v>50</v>
      </c>
      <c r="C59" t="s">
        <v>176</v>
      </c>
      <c r="D59">
        <v>0</v>
      </c>
      <c r="E59" t="s">
        <v>177</v>
      </c>
      <c r="F59">
        <v>0</v>
      </c>
      <c r="G59" t="s">
        <v>58</v>
      </c>
      <c r="H59">
        <v>0</v>
      </c>
      <c r="I59" t="s">
        <v>78</v>
      </c>
      <c r="J59">
        <v>0</v>
      </c>
      <c r="K59"/>
      <c r="L59"/>
      <c r="M59"/>
      <c r="N59"/>
      <c r="O59"/>
      <c r="P59"/>
      <c r="Q59"/>
      <c r="R59"/>
    </row>
    <row r="60" spans="1:18" s="7" customFormat="1" x14ac:dyDescent="0.45">
      <c r="A60" s="11" t="s">
        <v>41</v>
      </c>
      <c r="B60" s="11" t="s">
        <v>51</v>
      </c>
      <c r="C60" t="s">
        <v>169</v>
      </c>
      <c r="D60">
        <v>0</v>
      </c>
      <c r="E60" t="s">
        <v>170</v>
      </c>
      <c r="F60">
        <v>0</v>
      </c>
      <c r="G60" t="s">
        <v>171</v>
      </c>
      <c r="H60">
        <v>0</v>
      </c>
      <c r="I60" t="s">
        <v>172</v>
      </c>
      <c r="J60">
        <v>0</v>
      </c>
      <c r="K60" t="s">
        <v>173</v>
      </c>
      <c r="L60">
        <v>0</v>
      </c>
      <c r="M60" t="s">
        <v>87</v>
      </c>
      <c r="N60">
        <v>0</v>
      </c>
      <c r="O60" t="s">
        <v>175</v>
      </c>
      <c r="P60">
        <v>0</v>
      </c>
      <c r="Q60" t="s">
        <v>174</v>
      </c>
      <c r="R60">
        <v>0</v>
      </c>
    </row>
    <row r="61" spans="1:18"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8" s="7" customFormat="1" x14ac:dyDescent="0.45">
      <c r="A62" s="11" t="s">
        <v>43</v>
      </c>
      <c r="B62" s="11" t="s">
        <v>49</v>
      </c>
      <c r="C62" s="12" t="s">
        <v>7</v>
      </c>
      <c r="D62" s="11">
        <v>1</v>
      </c>
      <c r="E62" s="11"/>
      <c r="F62" s="11"/>
      <c r="G62" s="11"/>
      <c r="H62" s="11"/>
      <c r="I62" s="11"/>
      <c r="J62" s="11"/>
      <c r="K62" s="11"/>
      <c r="L62" s="11"/>
      <c r="M62" s="11"/>
      <c r="N62" s="11"/>
      <c r="O62" s="11"/>
    </row>
    <row r="63" spans="1:18" s="7" customFormat="1" x14ac:dyDescent="0.45">
      <c r="A63" s="11" t="s">
        <v>43</v>
      </c>
      <c r="B63" s="11" t="s">
        <v>50</v>
      </c>
      <c r="C63" s="12"/>
      <c r="D63" s="11"/>
      <c r="E63" s="11"/>
      <c r="F63" s="11"/>
      <c r="G63" s="11"/>
      <c r="H63" s="11"/>
      <c r="K63" s="11"/>
      <c r="L63" s="11"/>
      <c r="M63" s="11"/>
      <c r="N63" s="11"/>
      <c r="O63" s="11"/>
    </row>
    <row r="64" spans="1:18" s="7" customFormat="1" x14ac:dyDescent="0.45">
      <c r="A64" s="11" t="s">
        <v>43</v>
      </c>
      <c r="B64" s="11" t="s">
        <v>51</v>
      </c>
      <c r="C64" s="11"/>
      <c r="D64" s="11"/>
      <c r="E64" s="11"/>
      <c r="F64" s="11"/>
      <c r="G64" s="11"/>
      <c r="H64" s="11"/>
      <c r="I64" s="11"/>
      <c r="J64" s="11"/>
      <c r="L64" s="11"/>
      <c r="M64" s="11"/>
      <c r="N64" s="11"/>
      <c r="O64" s="11"/>
    </row>
    <row r="65" spans="1:18"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8" s="7" customFormat="1" x14ac:dyDescent="0.45">
      <c r="A66" s="11" t="s">
        <v>44</v>
      </c>
      <c r="B66" s="11" t="s">
        <v>49</v>
      </c>
      <c r="C66" s="12" t="s">
        <v>8</v>
      </c>
      <c r="D66" s="11">
        <v>1</v>
      </c>
      <c r="E66" s="11"/>
      <c r="F66" s="11"/>
      <c r="G66" s="11"/>
      <c r="H66" s="11"/>
      <c r="I66" s="11"/>
      <c r="J66" s="11"/>
      <c r="K66" s="11"/>
      <c r="L66" s="11"/>
      <c r="M66" s="11"/>
      <c r="N66" s="11"/>
      <c r="O66" s="11"/>
    </row>
    <row r="67" spans="1:18" s="7" customFormat="1" x14ac:dyDescent="0.45">
      <c r="A67" s="11" t="s">
        <v>44</v>
      </c>
      <c r="B67" s="11" t="s">
        <v>50</v>
      </c>
      <c r="C67" s="12"/>
      <c r="D67" s="11"/>
      <c r="E67" s="11"/>
      <c r="F67" s="11"/>
      <c r="G67" s="11"/>
      <c r="H67" s="11"/>
      <c r="I67" s="11"/>
      <c r="J67" s="11"/>
      <c r="K67" s="11"/>
      <c r="L67" s="11"/>
      <c r="M67" s="11"/>
      <c r="N67" s="11"/>
      <c r="O67" s="11"/>
    </row>
    <row r="68" spans="1:18" s="7" customFormat="1" x14ac:dyDescent="0.45">
      <c r="A68" s="11" t="s">
        <v>44</v>
      </c>
      <c r="B68" s="11" t="s">
        <v>51</v>
      </c>
      <c r="C68" s="11"/>
      <c r="D68" s="11"/>
      <c r="E68" s="11"/>
      <c r="F68" s="11"/>
      <c r="G68" s="11"/>
      <c r="H68" s="11"/>
      <c r="I68" s="11"/>
      <c r="J68" s="11"/>
      <c r="K68" s="11"/>
      <c r="L68" s="11"/>
      <c r="M68" s="11"/>
      <c r="N68" s="11"/>
      <c r="O68" s="11"/>
    </row>
    <row r="69" spans="1:18"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8" s="7" customFormat="1" x14ac:dyDescent="0.45">
      <c r="A70" s="11" t="s">
        <v>45</v>
      </c>
      <c r="B70" s="11" t="s">
        <v>49</v>
      </c>
      <c r="C70" s="12" t="s">
        <v>9</v>
      </c>
      <c r="D70" s="11">
        <v>1</v>
      </c>
      <c r="E70" s="11"/>
      <c r="F70" s="11"/>
      <c r="G70" s="11"/>
      <c r="H70" s="11"/>
      <c r="I70" s="11"/>
      <c r="J70" s="11"/>
      <c r="K70" s="11"/>
      <c r="L70" s="11"/>
      <c r="M70" s="11"/>
      <c r="N70" s="11"/>
      <c r="O70" s="11"/>
    </row>
    <row r="71" spans="1:18" s="7" customFormat="1" x14ac:dyDescent="0.45">
      <c r="A71" s="11" t="s">
        <v>45</v>
      </c>
      <c r="B71" s="11" t="s">
        <v>50</v>
      </c>
      <c r="C71" s="12"/>
      <c r="D71" s="11"/>
      <c r="E71" s="11"/>
      <c r="F71" s="11"/>
      <c r="G71" s="11"/>
      <c r="H71" s="11"/>
      <c r="I71" s="11"/>
      <c r="J71" s="11"/>
      <c r="K71" s="11"/>
      <c r="L71" s="11"/>
      <c r="M71" s="11"/>
      <c r="N71" s="11"/>
      <c r="O71" s="11"/>
    </row>
    <row r="72" spans="1:18" s="7" customFormat="1" x14ac:dyDescent="0.45">
      <c r="A72" s="11" t="s">
        <v>45</v>
      </c>
      <c r="B72" s="11" t="s">
        <v>51</v>
      </c>
      <c r="C72" s="11"/>
      <c r="D72" s="11"/>
      <c r="E72" s="11"/>
      <c r="F72" s="11"/>
      <c r="G72" s="11"/>
      <c r="H72" s="11"/>
      <c r="I72" s="11"/>
      <c r="J72" s="11"/>
      <c r="K72" s="11"/>
      <c r="L72" s="11"/>
      <c r="M72" s="11"/>
      <c r="N72" s="11"/>
      <c r="O72" s="11"/>
    </row>
    <row r="73" spans="1:18" s="7" customFormat="1" x14ac:dyDescent="0.45">
      <c r="A73" s="11" t="s">
        <v>46</v>
      </c>
      <c r="B73" s="11" t="s">
        <v>48</v>
      </c>
      <c r="C73" s="12" t="s">
        <v>42</v>
      </c>
      <c r="D73" s="11">
        <v>1</v>
      </c>
      <c r="E73" s="11" t="s">
        <v>92</v>
      </c>
      <c r="F73" s="11">
        <v>0</v>
      </c>
      <c r="G73" s="11" t="s">
        <v>90</v>
      </c>
      <c r="H73" s="11">
        <v>260</v>
      </c>
      <c r="I73" s="11" t="s">
        <v>91</v>
      </c>
      <c r="J73" s="11">
        <v>2</v>
      </c>
      <c r="K73" s="11"/>
      <c r="L73" s="11"/>
      <c r="M73" s="11"/>
      <c r="N73" s="11"/>
      <c r="O73" s="11"/>
    </row>
    <row r="74" spans="1:18" s="7" customFormat="1" x14ac:dyDescent="0.45">
      <c r="A74" s="11" t="s">
        <v>46</v>
      </c>
      <c r="B74" s="11" t="s">
        <v>49</v>
      </c>
      <c r="C74" s="12" t="s">
        <v>10</v>
      </c>
      <c r="D74" s="11">
        <v>1</v>
      </c>
      <c r="E74" s="11"/>
      <c r="F74" s="11"/>
      <c r="G74" s="11"/>
      <c r="H74" s="11"/>
      <c r="I74" s="11"/>
      <c r="J74" s="11"/>
      <c r="K74" s="11"/>
      <c r="L74" s="11"/>
      <c r="M74" s="11"/>
      <c r="N74" s="11"/>
      <c r="O74" s="11"/>
    </row>
    <row r="75" spans="1:18" s="7" customFormat="1" x14ac:dyDescent="0.45">
      <c r="A75" s="11" t="s">
        <v>46</v>
      </c>
      <c r="B75" s="11" t="s">
        <v>50</v>
      </c>
      <c r="C75" t="s">
        <v>176</v>
      </c>
      <c r="D75">
        <v>0</v>
      </c>
      <c r="E75" t="s">
        <v>177</v>
      </c>
      <c r="F75">
        <v>0</v>
      </c>
      <c r="G75" t="s">
        <v>58</v>
      </c>
      <c r="H75">
        <v>0</v>
      </c>
      <c r="I75" t="s">
        <v>78</v>
      </c>
      <c r="J75">
        <v>0</v>
      </c>
      <c r="K75"/>
      <c r="L75"/>
      <c r="M75"/>
      <c r="N75"/>
      <c r="O75"/>
      <c r="P75"/>
      <c r="Q75"/>
      <c r="R75"/>
    </row>
    <row r="76" spans="1:18" s="7" customFormat="1" x14ac:dyDescent="0.45">
      <c r="A76" s="11" t="s">
        <v>46</v>
      </c>
      <c r="B76" s="11" t="s">
        <v>51</v>
      </c>
      <c r="C76" t="s">
        <v>169</v>
      </c>
      <c r="D76">
        <v>0</v>
      </c>
      <c r="E76" t="s">
        <v>170</v>
      </c>
      <c r="F76">
        <v>0</v>
      </c>
      <c r="G76" t="s">
        <v>171</v>
      </c>
      <c r="H76">
        <v>0</v>
      </c>
      <c r="I76" t="s">
        <v>172</v>
      </c>
      <c r="J76">
        <v>0</v>
      </c>
      <c r="K76" t="s">
        <v>173</v>
      </c>
      <c r="L76">
        <v>0</v>
      </c>
      <c r="M76" t="s">
        <v>87</v>
      </c>
      <c r="N76">
        <v>0</v>
      </c>
      <c r="O76" t="s">
        <v>175</v>
      </c>
      <c r="P76">
        <v>0</v>
      </c>
      <c r="Q76" t="s">
        <v>174</v>
      </c>
      <c r="R76">
        <v>0</v>
      </c>
    </row>
    <row r="77" spans="1:18"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8" s="7" customFormat="1" x14ac:dyDescent="0.45">
      <c r="A78" s="11" t="s">
        <v>59</v>
      </c>
      <c r="B78" s="11" t="s">
        <v>49</v>
      </c>
      <c r="C78" s="12" t="s">
        <v>9</v>
      </c>
      <c r="D78" s="11">
        <v>1</v>
      </c>
      <c r="E78" s="11"/>
      <c r="F78" s="11"/>
      <c r="G78" s="11"/>
      <c r="H78" s="11"/>
      <c r="I78" s="11"/>
      <c r="J78" s="11"/>
      <c r="K78" s="11"/>
      <c r="L78" s="11"/>
      <c r="M78" s="11"/>
      <c r="N78" s="11"/>
      <c r="O78" s="11"/>
    </row>
    <row r="79" spans="1:18" s="7" customFormat="1" x14ac:dyDescent="0.45">
      <c r="A79" s="11" t="s">
        <v>59</v>
      </c>
      <c r="B79" s="11" t="s">
        <v>50</v>
      </c>
      <c r="C79" s="12"/>
      <c r="D79" s="11"/>
      <c r="E79" s="11"/>
      <c r="F79" s="11"/>
      <c r="G79" s="11"/>
      <c r="H79" s="11"/>
      <c r="I79" s="11"/>
      <c r="J79" s="11"/>
      <c r="K79" s="11"/>
      <c r="L79" s="11"/>
      <c r="M79" s="11"/>
      <c r="N79" s="11"/>
      <c r="O79" s="11"/>
    </row>
    <row r="80" spans="1:18" s="7" customFormat="1" x14ac:dyDescent="0.45">
      <c r="A80" s="11" t="s">
        <v>59</v>
      </c>
      <c r="B80" s="11" t="s">
        <v>51</v>
      </c>
      <c r="C80" s="11"/>
      <c r="D80" s="11"/>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c r="D83" s="11"/>
      <c r="E83" s="11"/>
      <c r="F83" s="11"/>
      <c r="G83" s="11"/>
      <c r="H83" s="11"/>
      <c r="K83" s="11"/>
      <c r="L83" s="11"/>
      <c r="M83" s="11"/>
      <c r="N83" s="11"/>
      <c r="O83" s="11"/>
    </row>
    <row r="84" spans="1:16" s="7" customFormat="1" x14ac:dyDescent="0.45">
      <c r="A84" s="11" t="s">
        <v>124</v>
      </c>
      <c r="B84" s="11" t="s">
        <v>51</v>
      </c>
      <c r="C84" s="11"/>
      <c r="D84" s="11"/>
      <c r="E84" s="11"/>
      <c r="F84" s="11"/>
      <c r="G84" s="11"/>
      <c r="H84" s="11"/>
      <c r="I84" s="11"/>
      <c r="J84" s="11"/>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D5" s="1" t="s">
        <v>129</v>
      </c>
      <c r="E5" s="2">
        <f>1500*1500*400/(E2^3)</f>
        <v>7200000000</v>
      </c>
    </row>
    <row r="6" spans="1:16" s="7" customFormat="1" x14ac:dyDescent="0.45">
      <c r="A6" s="11" t="s">
        <v>5</v>
      </c>
      <c r="B6" s="11" t="s">
        <v>6</v>
      </c>
      <c r="C6" s="12"/>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154</v>
      </c>
      <c r="C35" s="11" t="s">
        <v>153</v>
      </c>
      <c r="D35" s="11" t="s">
        <v>150</v>
      </c>
      <c r="E35" s="11" t="s">
        <v>151</v>
      </c>
      <c r="F35" s="11" t="s">
        <v>152</v>
      </c>
      <c r="G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x14ac:dyDescent="0.45">
      <c r="A38" s="11" t="s">
        <v>33</v>
      </c>
      <c r="B38" s="11" t="s">
        <v>153</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9"/>
  <sheetViews>
    <sheetView tabSelected="1" topLeftCell="A2" zoomScale="93" zoomScaleNormal="9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96</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x14ac:dyDescent="0.45">
      <c r="A18" t="s">
        <v>160</v>
      </c>
      <c r="B18" t="s">
        <v>165</v>
      </c>
      <c r="C18">
        <f>PI()*500^2*2 + 2*PI()*500*20</f>
        <v>1633628.1798666923</v>
      </c>
      <c r="E18" t="s">
        <v>163</v>
      </c>
      <c r="F18">
        <f>6*PI()*35^2</f>
        <v>23090.706003884978</v>
      </c>
      <c r="G18" t="s">
        <v>164</v>
      </c>
      <c r="H18">
        <f>C18/F18</f>
        <v>70.748299319727892</v>
      </c>
    </row>
    <row r="19" spans="1:8" x14ac:dyDescent="0.45">
      <c r="B19" t="s">
        <v>161</v>
      </c>
      <c r="C19">
        <f>PI()*500^2*20</f>
        <v>15707963.267948965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2020-01-15T15:03:22Z</dcterms:modified>
</cp:coreProperties>
</file>
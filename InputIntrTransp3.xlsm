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lmayorga\workspace\immunity\"/>
    </mc:Choice>
  </mc:AlternateContent>
  <bookViews>
    <workbookView xWindow="0" yWindow="0" windowWidth="9075" windowHeight="5175" firstSheet="1" activeTab="2"/>
  </bookViews>
  <sheets>
    <sheet name="inicial" sheetId="1" r:id="rId1"/>
    <sheet name="pruebas" sheetId="4" r:id="rId2"/>
    <sheet name="controles" sheetId="3" r:id="rId3"/>
    <sheet name="pruebasRes" sheetId="2" r:id="rId4"/>
  </sheets>
  <calcPr calcId="152511"/>
</workbook>
</file>

<file path=xl/calcChain.xml><?xml version="1.0" encoding="utf-8"?>
<calcChain xmlns="http://schemas.openxmlformats.org/spreadsheetml/2006/main">
  <c r="D63" i="4" l="1"/>
  <c r="D62" i="4"/>
  <c r="F61" i="4"/>
  <c r="D61" i="4"/>
  <c r="D57" i="4"/>
  <c r="D58" i="4" s="1"/>
  <c r="D52" i="4"/>
  <c r="D50" i="4"/>
  <c r="F49" i="4"/>
  <c r="D49" i="4"/>
  <c r="D53" i="4" s="1"/>
  <c r="D56" i="4" l="1"/>
  <c r="D65" i="4"/>
  <c r="D66" i="4" s="1"/>
  <c r="D68" i="4" s="1"/>
  <c r="D54" i="4"/>
  <c r="F53" i="4"/>
  <c r="D60" i="4"/>
  <c r="F57" i="4"/>
  <c r="H57" i="4" s="1"/>
  <c r="F60" i="4"/>
  <c r="F60" i="2"/>
  <c r="D62" i="2" s="1"/>
  <c r="D60" i="2"/>
  <c r="D61" i="2" s="1"/>
  <c r="D52" i="2"/>
  <c r="D64" i="2" s="1"/>
  <c r="D65" i="2" s="1"/>
  <c r="D67" i="2" s="1"/>
  <c r="F48" i="2"/>
  <c r="D48" i="2"/>
  <c r="D51" i="2" s="1"/>
  <c r="F65" i="4" l="1"/>
  <c r="H65" i="4" s="1"/>
  <c r="H53" i="4"/>
  <c r="D49" i="2"/>
  <c r="F52" i="2"/>
  <c r="D56" i="2"/>
  <c r="D55" i="2"/>
  <c r="D53" i="2"/>
  <c r="F61" i="1"/>
  <c r="D63" i="1" s="1"/>
  <c r="D61" i="1"/>
  <c r="D62" i="1" s="1"/>
  <c r="F49" i="1"/>
  <c r="D49" i="1"/>
  <c r="D53" i="1" s="1"/>
  <c r="D57" i="2" l="1"/>
  <c r="F59" i="2"/>
  <c r="F56" i="2"/>
  <c r="H56" i="2" s="1"/>
  <c r="D59" i="2"/>
  <c r="H52" i="2"/>
  <c r="F64" i="2"/>
  <c r="H64" i="2" s="1"/>
  <c r="D54" i="1"/>
  <c r="D56" i="1"/>
  <c r="D65" i="1"/>
  <c r="D66" i="1" s="1"/>
  <c r="D68" i="1" s="1"/>
  <c r="F53" i="1"/>
  <c r="F65" i="1" s="1"/>
  <c r="H65" i="1" s="1"/>
  <c r="D52" i="1"/>
  <c r="D57" i="1"/>
  <c r="D50" i="1"/>
  <c r="H53" i="1" l="1"/>
  <c r="F60" i="1"/>
  <c r="F57" i="1"/>
  <c r="H57" i="1" s="1"/>
  <c r="D60" i="1"/>
  <c r="D58" i="1"/>
</calcChain>
</file>

<file path=xl/sharedStrings.xml><?xml version="1.0" encoding="utf-8"?>
<sst xmlns="http://schemas.openxmlformats.org/spreadsheetml/2006/main" count="749" uniqueCount="77">
  <si>
    <t>CELL</t>
  </si>
  <si>
    <t>cellK</t>
  </si>
  <si>
    <t>rcyl</t>
  </si>
  <si>
    <t>rEndo</t>
  </si>
  <si>
    <t>tMembrane</t>
  </si>
  <si>
    <t>initRabCell</t>
  </si>
  <si>
    <t>RabA</t>
  </si>
  <si>
    <t>RabB</t>
  </si>
  <si>
    <t>RabC</t>
  </si>
  <si>
    <t>RabD</t>
  </si>
  <si>
    <t>RabE</t>
  </si>
  <si>
    <t>null</t>
  </si>
  <si>
    <t>ENDOSOMES</t>
  </si>
  <si>
    <t>rabCompatibility</t>
  </si>
  <si>
    <t>RabARabA</t>
  </si>
  <si>
    <t>RabBRabB</t>
  </si>
  <si>
    <t>RabCRabC</t>
  </si>
  <si>
    <t>RabDRabD</t>
  </si>
  <si>
    <t>RabERabE</t>
  </si>
  <si>
    <t>RabARabB</t>
  </si>
  <si>
    <t>RabARabD</t>
  </si>
  <si>
    <t>RabCRabE</t>
  </si>
  <si>
    <t>membraneMet</t>
  </si>
  <si>
    <t>mHCI</t>
  </si>
  <si>
    <t>mHCI-pept</t>
  </si>
  <si>
    <t>p2</t>
  </si>
  <si>
    <t>solubleMet</t>
  </si>
  <si>
    <t>ova</t>
  </si>
  <si>
    <t>preP</t>
  </si>
  <si>
    <t>pept</t>
  </si>
  <si>
    <t>p1</t>
  </si>
  <si>
    <t>mvb</t>
  </si>
  <si>
    <t>rabSet</t>
  </si>
  <si>
    <t>tubuleTropism</t>
  </si>
  <si>
    <t>rabTropism</t>
  </si>
  <si>
    <t>Tf</t>
  </si>
  <si>
    <t>mtTropism</t>
  </si>
  <si>
    <t>KIND</t>
  </si>
  <si>
    <t>Content</t>
  </si>
  <si>
    <t>1st Content</t>
  </si>
  <si>
    <t>value</t>
  </si>
  <si>
    <t>2nd Content</t>
  </si>
  <si>
    <t>3rd Content</t>
  </si>
  <si>
    <t>kind1</t>
  </si>
  <si>
    <t>area</t>
  </si>
  <si>
    <t>volume</t>
  </si>
  <si>
    <t>radius</t>
  </si>
  <si>
    <t>kind2</t>
  </si>
  <si>
    <t>kind3</t>
  </si>
  <si>
    <t>kind4</t>
  </si>
  <si>
    <t>kind5</t>
  </si>
  <si>
    <t>4th Content</t>
  </si>
  <si>
    <t>number</t>
  </si>
  <si>
    <t>initOrgProp</t>
  </si>
  <si>
    <t>initRabContent</t>
  </si>
  <si>
    <t>initSolubleContent</t>
  </si>
  <si>
    <t>initMembraneContent</t>
  </si>
  <si>
    <t>INITIAL ORGANELLES</t>
  </si>
  <si>
    <t>colorRab</t>
  </si>
  <si>
    <t>colorContent</t>
  </si>
  <si>
    <t>red</t>
  </si>
  <si>
    <t>green</t>
  </si>
  <si>
    <t>blue</t>
  </si>
  <si>
    <t>solubleMarker</t>
  </si>
  <si>
    <t>kind6</t>
  </si>
  <si>
    <t>RabBRabC</t>
  </si>
  <si>
    <t>RESET  SIMULATION</t>
  </si>
  <si>
    <t>Tf uptake</t>
  </si>
  <si>
    <t>ova uptake</t>
  </si>
  <si>
    <t>RESET COLORS AND UPTAKE</t>
  </si>
  <si>
    <t>orgScale</t>
  </si>
  <si>
    <t>recyclingProbability</t>
  </si>
  <si>
    <t>rabRecyProb</t>
  </si>
  <si>
    <t>pLANCL2</t>
  </si>
  <si>
    <t>initPMmembraneRecycle</t>
  </si>
  <si>
    <t>ABA</t>
  </si>
  <si>
    <t>solubleCell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</si>
</sst>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2F2F2F"/>
      <name val="Courier New"/>
      <family val="3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9">
    <xf numFmtId="0" fontId="0" fillId="0" borderId="0" xfId="0"/>
    <xf numFmtId="2" fontId="0" fillId="0" borderId="0" xfId="0" applyNumberFormat="1"/>
    <xf numFmtId="0" fontId="0" fillId="0" borderId="0" xfId="0" applyNumberFormat="1"/>
    <xf numFmtId="0" fontId="18" fillId="0" borderId="0" xfId="0" applyFont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0" borderId="0" xfId="0" applyFill="1"/>
    <xf numFmtId="0" fontId="0" fillId="36" borderId="0" xfId="0" applyFill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a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S76"/>
  <sheetViews>
    <sheetView zoomScale="86" zoomScaleNormal="86" workbookViewId="0">
      <selection sqref="A1:Z75"/>
    </sheetView>
  </sheetViews>
  <sheetFormatPr baseColWidth="10" defaultRowHeight="15" x14ac:dyDescent="0.25"/>
  <cols>
    <col min="1" max="1" width="11.42578125" style="1"/>
    <col min="2" max="2" width="23.7109375" style="1" customWidth="1"/>
    <col min="3" max="3" width="11.42578125" style="2"/>
    <col min="4" max="15" width="11.42578125" style="1"/>
  </cols>
  <sheetData>
    <row r="1" spans="1:19" x14ac:dyDescent="0.25">
      <c r="A1" s="1" t="s">
        <v>0</v>
      </c>
    </row>
    <row r="2" spans="1:19" x14ac:dyDescent="0.25">
      <c r="A2" s="1" t="s">
        <v>1</v>
      </c>
      <c r="B2" s="1" t="s">
        <v>2</v>
      </c>
      <c r="C2" s="2">
        <v>10</v>
      </c>
      <c r="D2" s="1" t="s">
        <v>3</v>
      </c>
      <c r="E2" s="2">
        <v>20</v>
      </c>
      <c r="F2" s="1" t="s">
        <v>4</v>
      </c>
      <c r="G2" s="2">
        <v>10000</v>
      </c>
      <c r="H2" s="1" t="s">
        <v>70</v>
      </c>
      <c r="I2" s="1">
        <v>1</v>
      </c>
      <c r="J2" s="1" t="s">
        <v>71</v>
      </c>
      <c r="K2" s="1">
        <v>0.1</v>
      </c>
    </row>
    <row r="3" spans="1:19" x14ac:dyDescent="0.25">
      <c r="A3" s="1" t="s">
        <v>11</v>
      </c>
    </row>
    <row r="4" spans="1:19" x14ac:dyDescent="0.25">
      <c r="A4" s="1" t="s">
        <v>11</v>
      </c>
    </row>
    <row r="5" spans="1:19" x14ac:dyDescent="0.25">
      <c r="A5" s="1" t="s">
        <v>5</v>
      </c>
      <c r="B5" s="1" t="s">
        <v>6</v>
      </c>
      <c r="C5" s="2">
        <v>0</v>
      </c>
      <c r="D5" s="1" t="s">
        <v>7</v>
      </c>
      <c r="E5" s="2">
        <v>0</v>
      </c>
      <c r="F5" s="1" t="s">
        <v>8</v>
      </c>
      <c r="G5" s="2">
        <v>2000</v>
      </c>
      <c r="H5" s="1" t="s">
        <v>9</v>
      </c>
      <c r="I5" s="2">
        <v>2000</v>
      </c>
      <c r="J5" s="1" t="s">
        <v>10</v>
      </c>
      <c r="K5" s="2">
        <v>0</v>
      </c>
    </row>
    <row r="6" spans="1:19" x14ac:dyDescent="0.25">
      <c r="A6" s="1" t="s">
        <v>76</v>
      </c>
      <c r="B6" s="1" t="s">
        <v>75</v>
      </c>
      <c r="C6" s="2">
        <v>0</v>
      </c>
    </row>
    <row r="7" spans="1:19" x14ac:dyDescent="0.25">
      <c r="A7" s="1" t="s">
        <v>74</v>
      </c>
      <c r="B7" s="1" t="s">
        <v>73</v>
      </c>
      <c r="C7" s="2">
        <v>15000</v>
      </c>
    </row>
    <row r="8" spans="1:19" x14ac:dyDescent="0.25">
      <c r="A8" s="1" t="s">
        <v>11</v>
      </c>
    </row>
    <row r="9" spans="1:19" x14ac:dyDescent="0.25">
      <c r="A9" s="1" t="s">
        <v>11</v>
      </c>
    </row>
    <row r="10" spans="1:19" x14ac:dyDescent="0.25">
      <c r="A10" s="1" t="s">
        <v>11</v>
      </c>
    </row>
    <row r="11" spans="1:19" x14ac:dyDescent="0.25">
      <c r="A11" s="1" t="s">
        <v>11</v>
      </c>
    </row>
    <row r="12" spans="1:19" x14ac:dyDescent="0.25">
      <c r="A12" s="1" t="s">
        <v>11</v>
      </c>
    </row>
    <row r="13" spans="1:19" x14ac:dyDescent="0.25">
      <c r="A13" s="1" t="s">
        <v>11</v>
      </c>
    </row>
    <row r="14" spans="1:19" x14ac:dyDescent="0.25">
      <c r="A14" s="1" t="s">
        <v>11</v>
      </c>
    </row>
    <row r="15" spans="1:19" x14ac:dyDescent="0.25">
      <c r="A15" s="1" t="s">
        <v>12</v>
      </c>
    </row>
    <row r="16" spans="1:19" x14ac:dyDescent="0.25">
      <c r="A16" s="1" t="s">
        <v>13</v>
      </c>
      <c r="B16" s="1" t="s">
        <v>14</v>
      </c>
      <c r="C16" s="2">
        <v>1</v>
      </c>
      <c r="D16" s="1" t="s">
        <v>15</v>
      </c>
      <c r="E16" s="2">
        <v>1</v>
      </c>
      <c r="F16" s="1" t="s">
        <v>16</v>
      </c>
      <c r="G16" s="2">
        <v>1</v>
      </c>
      <c r="H16" s="1" t="s">
        <v>17</v>
      </c>
      <c r="I16" s="2">
        <v>1</v>
      </c>
      <c r="J16" s="1" t="s">
        <v>18</v>
      </c>
      <c r="K16" s="2">
        <v>1</v>
      </c>
      <c r="L16" s="1" t="s">
        <v>19</v>
      </c>
      <c r="M16" s="2">
        <v>0.1</v>
      </c>
      <c r="N16" s="1" t="s">
        <v>20</v>
      </c>
      <c r="O16" s="2">
        <v>0.01</v>
      </c>
      <c r="P16" s="1" t="s">
        <v>21</v>
      </c>
      <c r="Q16" s="2">
        <v>0.01</v>
      </c>
      <c r="R16" s="1" t="s">
        <v>65</v>
      </c>
      <c r="S16" s="2">
        <v>0.01</v>
      </c>
    </row>
    <row r="17" spans="1:11" x14ac:dyDescent="0.25">
      <c r="A17" s="1" t="s">
        <v>11</v>
      </c>
    </row>
    <row r="18" spans="1:11" x14ac:dyDescent="0.25">
      <c r="A18" s="1" t="s">
        <v>11</v>
      </c>
    </row>
    <row r="19" spans="1:11" x14ac:dyDescent="0.25">
      <c r="A19" s="1" t="s">
        <v>11</v>
      </c>
    </row>
    <row r="20" spans="1:11" x14ac:dyDescent="0.25">
      <c r="A20" s="1" t="s">
        <v>11</v>
      </c>
    </row>
    <row r="21" spans="1:11" x14ac:dyDescent="0.25">
      <c r="A21" s="1" t="s">
        <v>11</v>
      </c>
    </row>
    <row r="22" spans="1:11" x14ac:dyDescent="0.25">
      <c r="A22" s="1" t="s">
        <v>11</v>
      </c>
    </row>
    <row r="23" spans="1:11" x14ac:dyDescent="0.25">
      <c r="A23" s="1" t="s">
        <v>11</v>
      </c>
    </row>
    <row r="24" spans="1:11" x14ac:dyDescent="0.25">
      <c r="A24" s="1" t="s">
        <v>11</v>
      </c>
    </row>
    <row r="25" spans="1:11" x14ac:dyDescent="0.25">
      <c r="A25" s="1" t="s">
        <v>22</v>
      </c>
      <c r="B25" s="1" t="s">
        <v>23</v>
      </c>
      <c r="C25" s="2" t="s">
        <v>24</v>
      </c>
      <c r="D25" s="1" t="s">
        <v>25</v>
      </c>
      <c r="E25" s="1" t="s">
        <v>35</v>
      </c>
      <c r="F25" s="1" t="s">
        <v>73</v>
      </c>
    </row>
    <row r="26" spans="1:11" x14ac:dyDescent="0.25">
      <c r="A26" s="1" t="s">
        <v>26</v>
      </c>
      <c r="B26" s="1" t="s">
        <v>27</v>
      </c>
      <c r="C26" s="2" t="s">
        <v>28</v>
      </c>
      <c r="D26" s="1" t="s">
        <v>29</v>
      </c>
      <c r="E26" s="1" t="s">
        <v>30</v>
      </c>
      <c r="F26" s="1" t="s">
        <v>31</v>
      </c>
      <c r="G26" s="1" t="s">
        <v>63</v>
      </c>
    </row>
    <row r="27" spans="1:11" x14ac:dyDescent="0.2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11" x14ac:dyDescent="0.25">
      <c r="A28" s="1" t="s">
        <v>33</v>
      </c>
      <c r="B28" s="1" t="s">
        <v>6</v>
      </c>
      <c r="C28" s="2">
        <v>0.5</v>
      </c>
      <c r="D28" s="1" t="s">
        <v>7</v>
      </c>
      <c r="E28" s="2">
        <v>0.5</v>
      </c>
      <c r="F28" s="1" t="s">
        <v>8</v>
      </c>
      <c r="G28" s="2">
        <v>0.5</v>
      </c>
      <c r="H28" s="1" t="s">
        <v>9</v>
      </c>
      <c r="I28" s="2">
        <v>0</v>
      </c>
      <c r="J28" s="1" t="s">
        <v>10</v>
      </c>
      <c r="K28" s="2">
        <v>0.5</v>
      </c>
    </row>
    <row r="29" spans="1:11" x14ac:dyDescent="0.25">
      <c r="A29" s="1" t="s">
        <v>11</v>
      </c>
    </row>
    <row r="30" spans="1:11" x14ac:dyDescent="0.25">
      <c r="A30" s="1" t="s">
        <v>11</v>
      </c>
    </row>
    <row r="31" spans="1:11" x14ac:dyDescent="0.25">
      <c r="A31" s="1" t="s">
        <v>11</v>
      </c>
    </row>
    <row r="32" spans="1:11" x14ac:dyDescent="0.25">
      <c r="A32" s="1" t="s">
        <v>11</v>
      </c>
    </row>
    <row r="33" spans="1:11" x14ac:dyDescent="0.25">
      <c r="A33" s="1" t="s">
        <v>34</v>
      </c>
      <c r="B33" s="1" t="s">
        <v>35</v>
      </c>
      <c r="C33" s="2" t="s">
        <v>7</v>
      </c>
      <c r="D33" s="1" t="s">
        <v>8</v>
      </c>
      <c r="E33" s="1" t="s">
        <v>31</v>
      </c>
    </row>
    <row r="34" spans="1:11" x14ac:dyDescent="0.25">
      <c r="A34" s="1" t="s">
        <v>34</v>
      </c>
      <c r="B34" s="1" t="s">
        <v>31</v>
      </c>
      <c r="C34" s="2">
        <v>0</v>
      </c>
    </row>
    <row r="35" spans="1:11" x14ac:dyDescent="0.25">
      <c r="A35" s="1" t="s">
        <v>34</v>
      </c>
      <c r="B35" s="1" t="s">
        <v>63</v>
      </c>
      <c r="C35" s="2">
        <v>0</v>
      </c>
    </row>
    <row r="36" spans="1:11" x14ac:dyDescent="0.25">
      <c r="A36" s="1" t="s">
        <v>34</v>
      </c>
      <c r="B36" s="1" t="s">
        <v>23</v>
      </c>
      <c r="C36" s="2" t="s">
        <v>6</v>
      </c>
      <c r="D36" s="1" t="s">
        <v>7</v>
      </c>
      <c r="E36" s="1" t="s">
        <v>8</v>
      </c>
    </row>
    <row r="37" spans="1:11" x14ac:dyDescent="0.25">
      <c r="A37" s="1" t="s">
        <v>34</v>
      </c>
      <c r="B37" s="1" t="s">
        <v>24</v>
      </c>
      <c r="C37" s="2" t="s">
        <v>6</v>
      </c>
      <c r="D37" s="1" t="s">
        <v>7</v>
      </c>
      <c r="E37" s="1" t="s">
        <v>8</v>
      </c>
    </row>
    <row r="38" spans="1:11" x14ac:dyDescent="0.25">
      <c r="A38" s="1" t="s">
        <v>34</v>
      </c>
      <c r="B38" s="1" t="s">
        <v>73</v>
      </c>
      <c r="C38" s="2" t="s">
        <v>6</v>
      </c>
      <c r="D38" s="1" t="s">
        <v>7</v>
      </c>
      <c r="E38" s="1" t="s">
        <v>8</v>
      </c>
    </row>
    <row r="39" spans="1:11" x14ac:dyDescent="0.25">
      <c r="A39" s="1" t="s">
        <v>34</v>
      </c>
      <c r="B39" s="1" t="s">
        <v>25</v>
      </c>
      <c r="C39" s="2" t="s">
        <v>8</v>
      </c>
      <c r="D39" s="1" t="s">
        <v>10</v>
      </c>
    </row>
    <row r="40" spans="1:11" x14ac:dyDescent="0.25">
      <c r="A40" s="1" t="s">
        <v>36</v>
      </c>
      <c r="B40" s="1" t="s">
        <v>6</v>
      </c>
      <c r="C40" s="2">
        <v>0</v>
      </c>
      <c r="D40" s="1" t="s">
        <v>7</v>
      </c>
      <c r="E40" s="2">
        <v>0</v>
      </c>
      <c r="F40" s="1" t="s">
        <v>8</v>
      </c>
      <c r="G40" s="2">
        <v>-1</v>
      </c>
      <c r="H40" s="1" t="s">
        <v>9</v>
      </c>
      <c r="I40" s="2">
        <v>-1</v>
      </c>
      <c r="J40" s="1" t="s">
        <v>10</v>
      </c>
      <c r="K40" s="2">
        <v>-1</v>
      </c>
    </row>
    <row r="41" spans="1:11" x14ac:dyDescent="0.25">
      <c r="A41" s="1" t="s">
        <v>72</v>
      </c>
      <c r="B41" s="1" t="s">
        <v>6</v>
      </c>
      <c r="C41" s="2">
        <v>0.1</v>
      </c>
      <c r="D41" s="1" t="s">
        <v>7</v>
      </c>
      <c r="E41" s="1">
        <v>0</v>
      </c>
      <c r="F41" s="1" t="s">
        <v>8</v>
      </c>
      <c r="G41" s="1">
        <v>0.1</v>
      </c>
      <c r="H41" s="1" t="s">
        <v>9</v>
      </c>
      <c r="I41" s="1">
        <v>0</v>
      </c>
      <c r="J41" s="1" t="s">
        <v>10</v>
      </c>
      <c r="K41" s="1">
        <v>0</v>
      </c>
    </row>
    <row r="42" spans="1:11" x14ac:dyDescent="0.25">
      <c r="A42" s="1" t="s">
        <v>11</v>
      </c>
    </row>
    <row r="43" spans="1:11" x14ac:dyDescent="0.25">
      <c r="A43" s="1" t="s">
        <v>11</v>
      </c>
    </row>
    <row r="44" spans="1:11" x14ac:dyDescent="0.25">
      <c r="A44" s="1" t="s">
        <v>11</v>
      </c>
    </row>
    <row r="45" spans="1:11" x14ac:dyDescent="0.25">
      <c r="A45" s="1" t="s">
        <v>58</v>
      </c>
      <c r="B45" s="1" t="s">
        <v>60</v>
      </c>
      <c r="C45" s="2" t="s">
        <v>6</v>
      </c>
      <c r="D45" s="1" t="s">
        <v>61</v>
      </c>
      <c r="E45" s="1" t="s">
        <v>7</v>
      </c>
      <c r="F45" s="1" t="s">
        <v>62</v>
      </c>
      <c r="G45" s="1" t="s">
        <v>8</v>
      </c>
    </row>
    <row r="46" spans="1:11" x14ac:dyDescent="0.25">
      <c r="A46" s="1" t="s">
        <v>59</v>
      </c>
      <c r="B46" s="1" t="s">
        <v>60</v>
      </c>
      <c r="C46" s="2" t="s">
        <v>35</v>
      </c>
      <c r="D46" s="1" t="s">
        <v>61</v>
      </c>
      <c r="E46" s="1" t="s">
        <v>27</v>
      </c>
      <c r="F46" s="1" t="s">
        <v>62</v>
      </c>
      <c r="G46" s="1" t="s">
        <v>25</v>
      </c>
    </row>
    <row r="47" spans="1:11" x14ac:dyDescent="0.25">
      <c r="A47" s="1" t="s">
        <v>57</v>
      </c>
    </row>
    <row r="48" spans="1:11" x14ac:dyDescent="0.25">
      <c r="A48" s="1" t="s">
        <v>37</v>
      </c>
      <c r="B48" s="1" t="s">
        <v>38</v>
      </c>
      <c r="C48" s="2" t="s">
        <v>39</v>
      </c>
      <c r="D48" s="1" t="s">
        <v>40</v>
      </c>
      <c r="E48" s="1" t="s">
        <v>41</v>
      </c>
      <c r="F48" s="1" t="s">
        <v>40</v>
      </c>
      <c r="G48" s="1" t="s">
        <v>42</v>
      </c>
      <c r="H48" s="1" t="s">
        <v>40</v>
      </c>
      <c r="I48" s="1" t="s">
        <v>51</v>
      </c>
      <c r="J48" s="1" t="s">
        <v>40</v>
      </c>
    </row>
    <row r="49" spans="1:10" x14ac:dyDescent="0.25">
      <c r="A49" s="1" t="s">
        <v>43</v>
      </c>
      <c r="B49" s="1" t="s">
        <v>53</v>
      </c>
      <c r="C49" s="2" t="s">
        <v>44</v>
      </c>
      <c r="D49" s="1">
        <f>4*PI()*H49^2</f>
        <v>5026.5482457436692</v>
      </c>
      <c r="E49" s="1" t="s">
        <v>45</v>
      </c>
      <c r="F49" s="1">
        <f>4/3*PI()*H49^3</f>
        <v>33510.321638291127</v>
      </c>
      <c r="G49" s="1" t="s">
        <v>46</v>
      </c>
      <c r="H49" s="1">
        <v>20</v>
      </c>
      <c r="I49" s="1" t="s">
        <v>52</v>
      </c>
      <c r="J49" s="1">
        <v>10</v>
      </c>
    </row>
    <row r="50" spans="1:10" x14ac:dyDescent="0.25">
      <c r="A50" s="1" t="s">
        <v>43</v>
      </c>
      <c r="B50" s="1" t="s">
        <v>54</v>
      </c>
      <c r="C50" s="2" t="s">
        <v>6</v>
      </c>
      <c r="D50" s="1">
        <f>D49</f>
        <v>5026.5482457436692</v>
      </c>
    </row>
    <row r="51" spans="1:10" x14ac:dyDescent="0.25">
      <c r="A51" s="1" t="s">
        <v>43</v>
      </c>
      <c r="B51" s="1" t="s">
        <v>55</v>
      </c>
      <c r="C51" s="2" t="s">
        <v>27</v>
      </c>
      <c r="D51" s="1">
        <v>0</v>
      </c>
    </row>
    <row r="52" spans="1:10" x14ac:dyDescent="0.25">
      <c r="A52" s="1" t="s">
        <v>43</v>
      </c>
      <c r="B52" s="1" t="s">
        <v>56</v>
      </c>
      <c r="C52" s="2" t="s">
        <v>23</v>
      </c>
      <c r="D52" s="1">
        <f>D49/100</f>
        <v>50.26548245743669</v>
      </c>
      <c r="E52" s="1" t="s">
        <v>35</v>
      </c>
      <c r="F52" s="1">
        <v>0</v>
      </c>
    </row>
    <row r="53" spans="1:10" x14ac:dyDescent="0.25">
      <c r="A53" s="1" t="s">
        <v>47</v>
      </c>
      <c r="B53" s="1" t="s">
        <v>53</v>
      </c>
      <c r="C53" s="2" t="s">
        <v>44</v>
      </c>
      <c r="D53" s="1">
        <f>D49</f>
        <v>5026.5482457436692</v>
      </c>
      <c r="E53" s="1" t="s">
        <v>45</v>
      </c>
      <c r="F53" s="1">
        <f>D53*5</f>
        <v>25132.741228718347</v>
      </c>
      <c r="G53" s="1" t="s">
        <v>46</v>
      </c>
      <c r="H53" s="1">
        <f>(F53*3/4/PI())^(1/3)</f>
        <v>18.171205928321388</v>
      </c>
      <c r="I53" s="1" t="s">
        <v>52</v>
      </c>
      <c r="J53" s="1">
        <v>10</v>
      </c>
    </row>
    <row r="54" spans="1:10" x14ac:dyDescent="0.25">
      <c r="A54" s="1" t="s">
        <v>47</v>
      </c>
      <c r="B54" s="1" t="s">
        <v>54</v>
      </c>
      <c r="C54" s="2" t="s">
        <v>7</v>
      </c>
      <c r="D54" s="1">
        <f>D53</f>
        <v>5026.5482457436692</v>
      </c>
    </row>
    <row r="55" spans="1:10" x14ac:dyDescent="0.25">
      <c r="A55" s="1" t="s">
        <v>47</v>
      </c>
      <c r="B55" s="1" t="s">
        <v>55</v>
      </c>
      <c r="C55" s="2" t="s">
        <v>27</v>
      </c>
      <c r="D55" s="1">
        <v>0</v>
      </c>
    </row>
    <row r="56" spans="1:10" x14ac:dyDescent="0.25">
      <c r="A56" s="1" t="s">
        <v>47</v>
      </c>
      <c r="B56" s="1" t="s">
        <v>56</v>
      </c>
      <c r="C56" s="2" t="s">
        <v>23</v>
      </c>
      <c r="D56" s="1">
        <f>D53/100</f>
        <v>50.26548245743669</v>
      </c>
    </row>
    <row r="57" spans="1:10" x14ac:dyDescent="0.25">
      <c r="A57" s="1" t="s">
        <v>48</v>
      </c>
      <c r="B57" s="1" t="s">
        <v>53</v>
      </c>
      <c r="C57" s="2" t="s">
        <v>44</v>
      </c>
      <c r="D57" s="1">
        <f>D49*2</f>
        <v>10053.096491487338</v>
      </c>
      <c r="E57" s="1" t="s">
        <v>45</v>
      </c>
      <c r="F57" s="1">
        <f>D57*5</f>
        <v>50265.482457436694</v>
      </c>
      <c r="G57" s="1" t="s">
        <v>46</v>
      </c>
      <c r="H57" s="1">
        <f>(F57*3/4/PI())^(1/3)</f>
        <v>22.894284851066633</v>
      </c>
      <c r="I57" s="1" t="s">
        <v>52</v>
      </c>
      <c r="J57" s="1">
        <v>10</v>
      </c>
    </row>
    <row r="58" spans="1:10" x14ac:dyDescent="0.25">
      <c r="A58" s="1" t="s">
        <v>48</v>
      </c>
      <c r="B58" s="1" t="s">
        <v>54</v>
      </c>
      <c r="C58" s="2" t="s">
        <v>8</v>
      </c>
      <c r="D58" s="1">
        <f>D57</f>
        <v>10053.096491487338</v>
      </c>
    </row>
    <row r="59" spans="1:10" x14ac:dyDescent="0.25">
      <c r="A59" s="1" t="s">
        <v>48</v>
      </c>
      <c r="B59" s="1" t="s">
        <v>55</v>
      </c>
      <c r="C59" s="2" t="s">
        <v>27</v>
      </c>
      <c r="D59" s="1">
        <v>0</v>
      </c>
    </row>
    <row r="60" spans="1:10" x14ac:dyDescent="0.25">
      <c r="A60" s="1" t="s">
        <v>48</v>
      </c>
      <c r="B60" s="1" t="s">
        <v>56</v>
      </c>
      <c r="C60" s="2" t="s">
        <v>23</v>
      </c>
      <c r="D60" s="1">
        <f>D57/100</f>
        <v>100.53096491487338</v>
      </c>
      <c r="E60" s="1" t="s">
        <v>25</v>
      </c>
      <c r="F60" s="1">
        <f>D57/1000</f>
        <v>10.053096491487338</v>
      </c>
    </row>
    <row r="61" spans="1:10" x14ac:dyDescent="0.25">
      <c r="A61" s="1" t="s">
        <v>49</v>
      </c>
      <c r="B61" s="1" t="s">
        <v>53</v>
      </c>
      <c r="C61" s="2" t="s">
        <v>44</v>
      </c>
      <c r="D61" s="1">
        <f>4*PI()*H61^2</f>
        <v>20106.192982974677</v>
      </c>
      <c r="E61" s="1" t="s">
        <v>45</v>
      </c>
      <c r="F61" s="1">
        <f>4/3*PI()*H61^3</f>
        <v>268082.57310632901</v>
      </c>
      <c r="G61" s="1" t="s">
        <v>46</v>
      </c>
      <c r="H61" s="1">
        <v>40</v>
      </c>
      <c r="I61" s="1" t="s">
        <v>52</v>
      </c>
      <c r="J61" s="1">
        <v>4</v>
      </c>
    </row>
    <row r="62" spans="1:10" x14ac:dyDescent="0.25">
      <c r="A62" s="1" t="s">
        <v>49</v>
      </c>
      <c r="B62" s="1" t="s">
        <v>54</v>
      </c>
      <c r="C62" s="2" t="s">
        <v>9</v>
      </c>
      <c r="D62" s="1">
        <f>D61</f>
        <v>20106.192982974677</v>
      </c>
    </row>
    <row r="63" spans="1:10" x14ac:dyDescent="0.25">
      <c r="A63" s="1" t="s">
        <v>49</v>
      </c>
      <c r="B63" s="1" t="s">
        <v>55</v>
      </c>
      <c r="C63" s="2" t="s">
        <v>30</v>
      </c>
      <c r="D63" s="1">
        <f>F61/10</f>
        <v>26808.2573106329</v>
      </c>
    </row>
    <row r="64" spans="1:10" x14ac:dyDescent="0.25">
      <c r="A64" s="1" t="s">
        <v>49</v>
      </c>
      <c r="B64" s="1" t="s">
        <v>56</v>
      </c>
      <c r="C64" s="2" t="s">
        <v>25</v>
      </c>
      <c r="D64" s="1">
        <v>0</v>
      </c>
    </row>
    <row r="65" spans="1:10" x14ac:dyDescent="0.25">
      <c r="A65" s="1" t="s">
        <v>50</v>
      </c>
      <c r="B65" s="1" t="s">
        <v>53</v>
      </c>
      <c r="C65" s="2" t="s">
        <v>44</v>
      </c>
      <c r="D65" s="1">
        <f>D53</f>
        <v>5026.5482457436692</v>
      </c>
      <c r="E65" s="1" t="s">
        <v>45</v>
      </c>
      <c r="F65" s="1">
        <f>F53</f>
        <v>25132.741228718347</v>
      </c>
      <c r="G65" s="1" t="s">
        <v>46</v>
      </c>
      <c r="H65" s="1">
        <f>(F65*3/4/PI())^(1/3)</f>
        <v>18.171205928321388</v>
      </c>
      <c r="I65" s="1" t="s">
        <v>52</v>
      </c>
      <c r="J65" s="1">
        <v>10</v>
      </c>
    </row>
    <row r="66" spans="1:10" x14ac:dyDescent="0.25">
      <c r="A66" s="1" t="s">
        <v>50</v>
      </c>
      <c r="B66" s="1" t="s">
        <v>54</v>
      </c>
      <c r="C66" s="2" t="s">
        <v>10</v>
      </c>
      <c r="D66" s="1">
        <f>D65</f>
        <v>5026.5482457436692</v>
      </c>
    </row>
    <row r="67" spans="1:10" x14ac:dyDescent="0.25">
      <c r="A67" s="1" t="s">
        <v>50</v>
      </c>
      <c r="B67" s="1" t="s">
        <v>55</v>
      </c>
      <c r="C67" s="2" t="s">
        <v>27</v>
      </c>
      <c r="D67" s="1">
        <v>0</v>
      </c>
    </row>
    <row r="68" spans="1:10" x14ac:dyDescent="0.25">
      <c r="A68" s="1" t="s">
        <v>50</v>
      </c>
      <c r="B68" s="1" t="s">
        <v>56</v>
      </c>
      <c r="C68" s="2" t="s">
        <v>25</v>
      </c>
      <c r="D68" s="1">
        <f>D66</f>
        <v>5026.5482457436692</v>
      </c>
    </row>
    <row r="69" spans="1:10" x14ac:dyDescent="0.25">
      <c r="A69" s="1" t="s">
        <v>64</v>
      </c>
      <c r="B69" s="1" t="s">
        <v>53</v>
      </c>
      <c r="C69" s="2" t="s">
        <v>44</v>
      </c>
      <c r="D69" s="1">
        <v>20106.192982974677</v>
      </c>
      <c r="E69" s="1" t="s">
        <v>45</v>
      </c>
      <c r="F69" s="1">
        <v>268082.57310632901</v>
      </c>
      <c r="G69" s="1" t="s">
        <v>46</v>
      </c>
      <c r="H69" s="1">
        <v>40</v>
      </c>
      <c r="I69" s="1" t="s">
        <v>52</v>
      </c>
      <c r="J69" s="1">
        <v>1</v>
      </c>
    </row>
    <row r="70" spans="1:10" x14ac:dyDescent="0.25">
      <c r="A70" s="1" t="s">
        <v>64</v>
      </c>
      <c r="B70" s="1" t="s">
        <v>54</v>
      </c>
      <c r="C70" s="2" t="s">
        <v>9</v>
      </c>
      <c r="D70" s="1">
        <v>20106.192982974677</v>
      </c>
    </row>
    <row r="71" spans="1:10" x14ac:dyDescent="0.25">
      <c r="A71" s="1" t="s">
        <v>64</v>
      </c>
      <c r="B71" s="1" t="s">
        <v>55</v>
      </c>
      <c r="C71" s="2" t="s">
        <v>30</v>
      </c>
      <c r="D71" s="1">
        <v>26808.2573106329</v>
      </c>
      <c r="E71" s="1" t="s">
        <v>63</v>
      </c>
      <c r="F71" s="1">
        <v>1</v>
      </c>
    </row>
    <row r="72" spans="1:10" x14ac:dyDescent="0.25">
      <c r="A72" s="1" t="s">
        <v>64</v>
      </c>
      <c r="B72" s="1" t="s">
        <v>56</v>
      </c>
      <c r="C72" s="2" t="s">
        <v>25</v>
      </c>
      <c r="D72" s="1">
        <v>0</v>
      </c>
    </row>
    <row r="73" spans="1:10" x14ac:dyDescent="0.25">
      <c r="A73" s="1" t="s">
        <v>11</v>
      </c>
    </row>
    <row r="74" spans="1:10" x14ac:dyDescent="0.25">
      <c r="A74" s="1" t="s">
        <v>11</v>
      </c>
    </row>
    <row r="75" spans="1:10" x14ac:dyDescent="0.25">
      <c r="A75" s="1" t="s">
        <v>11</v>
      </c>
    </row>
    <row r="76" spans="1:10" x14ac:dyDescent="0.25">
      <c r="A76" s="1" t="s">
        <v>11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S76"/>
  <sheetViews>
    <sheetView workbookViewId="0">
      <selection sqref="A1:Z75"/>
    </sheetView>
  </sheetViews>
  <sheetFormatPr baseColWidth="10" defaultRowHeight="15" x14ac:dyDescent="0.25"/>
  <cols>
    <col min="1" max="1" width="11.42578125" style="1"/>
    <col min="2" max="2" width="23.7109375" style="1" customWidth="1"/>
    <col min="3" max="3" width="11.42578125" style="2"/>
    <col min="4" max="15" width="11.42578125" style="1"/>
  </cols>
  <sheetData>
    <row r="1" spans="1:19" x14ac:dyDescent="0.25">
      <c r="A1" s="1" t="s">
        <v>0</v>
      </c>
    </row>
    <row r="2" spans="1:19" x14ac:dyDescent="0.25">
      <c r="A2" s="1" t="s">
        <v>1</v>
      </c>
      <c r="B2" s="1" t="s">
        <v>2</v>
      </c>
      <c r="C2" s="2">
        <v>10</v>
      </c>
      <c r="D2" s="1" t="s">
        <v>3</v>
      </c>
      <c r="E2" s="2">
        <v>20</v>
      </c>
      <c r="F2" s="1" t="s">
        <v>4</v>
      </c>
      <c r="G2" s="2">
        <v>10000</v>
      </c>
      <c r="H2" s="1" t="s">
        <v>70</v>
      </c>
      <c r="I2" s="1">
        <v>1</v>
      </c>
      <c r="J2" s="1" t="s">
        <v>71</v>
      </c>
      <c r="K2" s="1">
        <v>0.1</v>
      </c>
    </row>
    <row r="3" spans="1:19" x14ac:dyDescent="0.25">
      <c r="A3" s="1" t="s">
        <v>11</v>
      </c>
    </row>
    <row r="4" spans="1:19" x14ac:dyDescent="0.25">
      <c r="A4" s="1" t="s">
        <v>11</v>
      </c>
    </row>
    <row r="5" spans="1:19" x14ac:dyDescent="0.25">
      <c r="A5" s="1" t="s">
        <v>5</v>
      </c>
      <c r="B5" s="1" t="s">
        <v>6</v>
      </c>
      <c r="C5" s="2">
        <v>0</v>
      </c>
      <c r="D5" s="1" t="s">
        <v>7</v>
      </c>
      <c r="E5" s="2">
        <v>0</v>
      </c>
      <c r="F5" s="1" t="s">
        <v>8</v>
      </c>
      <c r="G5" s="2">
        <v>2000</v>
      </c>
      <c r="H5" s="1" t="s">
        <v>9</v>
      </c>
      <c r="I5" s="2">
        <v>2000</v>
      </c>
      <c r="J5" s="1" t="s">
        <v>10</v>
      </c>
      <c r="K5" s="2">
        <v>0</v>
      </c>
    </row>
    <row r="6" spans="1:19" x14ac:dyDescent="0.25">
      <c r="A6" s="1" t="s">
        <v>76</v>
      </c>
      <c r="B6" s="1" t="s">
        <v>75</v>
      </c>
      <c r="C6" s="2">
        <v>0</v>
      </c>
    </row>
    <row r="7" spans="1:19" x14ac:dyDescent="0.25">
      <c r="A7" s="1" t="s">
        <v>74</v>
      </c>
      <c r="B7" s="1" t="s">
        <v>73</v>
      </c>
      <c r="C7" s="2">
        <v>15000</v>
      </c>
    </row>
    <row r="8" spans="1:19" x14ac:dyDescent="0.25">
      <c r="A8" s="1" t="s">
        <v>11</v>
      </c>
    </row>
    <row r="9" spans="1:19" x14ac:dyDescent="0.25">
      <c r="A9" s="1" t="s">
        <v>11</v>
      </c>
    </row>
    <row r="10" spans="1:19" x14ac:dyDescent="0.25">
      <c r="A10" s="1" t="s">
        <v>11</v>
      </c>
    </row>
    <row r="11" spans="1:19" x14ac:dyDescent="0.25">
      <c r="A11" s="1" t="s">
        <v>11</v>
      </c>
    </row>
    <row r="12" spans="1:19" x14ac:dyDescent="0.25">
      <c r="A12" s="1" t="s">
        <v>11</v>
      </c>
    </row>
    <row r="13" spans="1:19" x14ac:dyDescent="0.25">
      <c r="A13" s="1" t="s">
        <v>11</v>
      </c>
    </row>
    <row r="14" spans="1:19" x14ac:dyDescent="0.25">
      <c r="A14" s="1" t="s">
        <v>11</v>
      </c>
    </row>
    <row r="15" spans="1:19" x14ac:dyDescent="0.25">
      <c r="A15" s="1" t="s">
        <v>12</v>
      </c>
    </row>
    <row r="16" spans="1:19" x14ac:dyDescent="0.25">
      <c r="A16" s="1" t="s">
        <v>13</v>
      </c>
      <c r="B16" s="1" t="s">
        <v>14</v>
      </c>
      <c r="C16" s="2">
        <v>1</v>
      </c>
      <c r="D16" s="1" t="s">
        <v>15</v>
      </c>
      <c r="E16" s="2">
        <v>1</v>
      </c>
      <c r="F16" s="1" t="s">
        <v>16</v>
      </c>
      <c r="G16" s="2">
        <v>1</v>
      </c>
      <c r="H16" s="1" t="s">
        <v>17</v>
      </c>
      <c r="I16" s="2">
        <v>1</v>
      </c>
      <c r="J16" s="1" t="s">
        <v>18</v>
      </c>
      <c r="K16" s="2">
        <v>1</v>
      </c>
      <c r="L16" s="1" t="s">
        <v>19</v>
      </c>
      <c r="M16" s="2">
        <v>0.1</v>
      </c>
      <c r="N16" s="1" t="s">
        <v>20</v>
      </c>
      <c r="O16" s="2">
        <v>0.01</v>
      </c>
      <c r="P16" s="1" t="s">
        <v>21</v>
      </c>
      <c r="Q16" s="2">
        <v>0.01</v>
      </c>
      <c r="R16" s="1" t="s">
        <v>65</v>
      </c>
      <c r="S16" s="2">
        <v>0.01</v>
      </c>
    </row>
    <row r="17" spans="1:11" x14ac:dyDescent="0.25">
      <c r="A17" s="1" t="s">
        <v>11</v>
      </c>
    </row>
    <row r="18" spans="1:11" x14ac:dyDescent="0.25">
      <c r="A18" s="1" t="s">
        <v>11</v>
      </c>
    </row>
    <row r="19" spans="1:11" x14ac:dyDescent="0.25">
      <c r="A19" s="1" t="s">
        <v>11</v>
      </c>
    </row>
    <row r="20" spans="1:11" x14ac:dyDescent="0.25">
      <c r="A20" s="1" t="s">
        <v>11</v>
      </c>
    </row>
    <row r="21" spans="1:11" x14ac:dyDescent="0.25">
      <c r="A21" s="1" t="s">
        <v>11</v>
      </c>
    </row>
    <row r="22" spans="1:11" x14ac:dyDescent="0.25">
      <c r="A22" s="1" t="s">
        <v>11</v>
      </c>
    </row>
    <row r="23" spans="1:11" x14ac:dyDescent="0.25">
      <c r="A23" s="1" t="s">
        <v>11</v>
      </c>
    </row>
    <row r="24" spans="1:11" x14ac:dyDescent="0.25">
      <c r="A24" s="1" t="s">
        <v>11</v>
      </c>
    </row>
    <row r="25" spans="1:11" x14ac:dyDescent="0.25">
      <c r="A25" s="1" t="s">
        <v>22</v>
      </c>
      <c r="B25" s="1" t="s">
        <v>23</v>
      </c>
      <c r="C25" s="2" t="s">
        <v>24</v>
      </c>
      <c r="D25" s="1" t="s">
        <v>25</v>
      </c>
      <c r="E25" s="1" t="s">
        <v>35</v>
      </c>
      <c r="F25" s="1" t="s">
        <v>73</v>
      </c>
    </row>
    <row r="26" spans="1:11" x14ac:dyDescent="0.25">
      <c r="A26" s="1" t="s">
        <v>26</v>
      </c>
      <c r="B26" s="1" t="s">
        <v>27</v>
      </c>
      <c r="C26" s="2" t="s">
        <v>28</v>
      </c>
      <c r="D26" s="1" t="s">
        <v>29</v>
      </c>
      <c r="E26" s="1" t="s">
        <v>30</v>
      </c>
      <c r="F26" s="1" t="s">
        <v>31</v>
      </c>
      <c r="G26" s="1" t="s">
        <v>63</v>
      </c>
    </row>
    <row r="27" spans="1:11" x14ac:dyDescent="0.2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11" x14ac:dyDescent="0.25">
      <c r="A28" s="1" t="s">
        <v>33</v>
      </c>
      <c r="B28" s="1" t="s">
        <v>6</v>
      </c>
      <c r="C28" s="2">
        <v>0.5</v>
      </c>
      <c r="D28" s="1" t="s">
        <v>7</v>
      </c>
      <c r="E28" s="2">
        <v>0.5</v>
      </c>
      <c r="F28" s="1" t="s">
        <v>8</v>
      </c>
      <c r="G28" s="2">
        <v>0.5</v>
      </c>
      <c r="H28" s="1" t="s">
        <v>9</v>
      </c>
      <c r="I28" s="2">
        <v>0</v>
      </c>
      <c r="J28" s="1" t="s">
        <v>10</v>
      </c>
      <c r="K28" s="2">
        <v>0.5</v>
      </c>
    </row>
    <row r="29" spans="1:11" x14ac:dyDescent="0.25">
      <c r="A29" s="1" t="s">
        <v>11</v>
      </c>
    </row>
    <row r="30" spans="1:11" x14ac:dyDescent="0.25">
      <c r="A30" s="1" t="s">
        <v>11</v>
      </c>
    </row>
    <row r="31" spans="1:11" x14ac:dyDescent="0.25">
      <c r="A31" s="1" t="s">
        <v>11</v>
      </c>
    </row>
    <row r="32" spans="1:11" x14ac:dyDescent="0.25">
      <c r="A32" s="1" t="s">
        <v>11</v>
      </c>
    </row>
    <row r="33" spans="1:11" x14ac:dyDescent="0.25">
      <c r="A33" s="1" t="s">
        <v>34</v>
      </c>
      <c r="B33" s="1" t="s">
        <v>35</v>
      </c>
      <c r="C33" s="2" t="s">
        <v>7</v>
      </c>
      <c r="D33" s="1" t="s">
        <v>8</v>
      </c>
      <c r="E33" s="1" t="s">
        <v>31</v>
      </c>
    </row>
    <row r="34" spans="1:11" x14ac:dyDescent="0.25">
      <c r="A34" s="1" t="s">
        <v>34</v>
      </c>
      <c r="B34" s="1" t="s">
        <v>31</v>
      </c>
      <c r="C34" s="2">
        <v>0</v>
      </c>
    </row>
    <row r="35" spans="1:11" x14ac:dyDescent="0.25">
      <c r="A35" s="1" t="s">
        <v>34</v>
      </c>
      <c r="B35" s="1" t="s">
        <v>63</v>
      </c>
      <c r="C35" s="2">
        <v>0</v>
      </c>
    </row>
    <row r="36" spans="1:11" x14ac:dyDescent="0.25">
      <c r="A36" s="1" t="s">
        <v>34</v>
      </c>
      <c r="B36" s="1" t="s">
        <v>23</v>
      </c>
      <c r="C36" s="2" t="s">
        <v>6</v>
      </c>
      <c r="D36" s="1" t="s">
        <v>7</v>
      </c>
      <c r="E36" s="1" t="s">
        <v>8</v>
      </c>
    </row>
    <row r="37" spans="1:11" x14ac:dyDescent="0.25">
      <c r="A37" s="1" t="s">
        <v>34</v>
      </c>
      <c r="B37" s="1" t="s">
        <v>24</v>
      </c>
      <c r="C37" s="2" t="s">
        <v>6</v>
      </c>
      <c r="D37" s="1" t="s">
        <v>7</v>
      </c>
      <c r="E37" s="1" t="s">
        <v>8</v>
      </c>
    </row>
    <row r="38" spans="1:11" x14ac:dyDescent="0.25">
      <c r="A38" s="1" t="s">
        <v>34</v>
      </c>
      <c r="B38" s="1" t="s">
        <v>73</v>
      </c>
      <c r="C38" s="2" t="s">
        <v>6</v>
      </c>
      <c r="D38" s="1" t="s">
        <v>7</v>
      </c>
      <c r="E38" s="1" t="s">
        <v>8</v>
      </c>
    </row>
    <row r="39" spans="1:11" x14ac:dyDescent="0.25">
      <c r="A39" s="1" t="s">
        <v>34</v>
      </c>
      <c r="B39" s="1" t="s">
        <v>25</v>
      </c>
      <c r="C39" s="2" t="s">
        <v>8</v>
      </c>
      <c r="D39" s="1" t="s">
        <v>10</v>
      </c>
    </row>
    <row r="40" spans="1:11" x14ac:dyDescent="0.25">
      <c r="A40" s="1" t="s">
        <v>36</v>
      </c>
      <c r="B40" s="1" t="s">
        <v>6</v>
      </c>
      <c r="C40" s="2">
        <v>0</v>
      </c>
      <c r="D40" s="1" t="s">
        <v>7</v>
      </c>
      <c r="E40" s="2">
        <v>0</v>
      </c>
      <c r="F40" s="1" t="s">
        <v>8</v>
      </c>
      <c r="G40" s="2">
        <v>-1</v>
      </c>
      <c r="H40" s="1" t="s">
        <v>9</v>
      </c>
      <c r="I40" s="2">
        <v>-1</v>
      </c>
      <c r="J40" s="1" t="s">
        <v>10</v>
      </c>
      <c r="K40" s="2">
        <v>-1</v>
      </c>
    </row>
    <row r="41" spans="1:11" x14ac:dyDescent="0.25">
      <c r="A41" s="1" t="s">
        <v>72</v>
      </c>
      <c r="B41" s="1" t="s">
        <v>6</v>
      </c>
      <c r="C41" s="2">
        <v>0.1</v>
      </c>
      <c r="D41" s="1" t="s">
        <v>7</v>
      </c>
      <c r="E41" s="1">
        <v>0</v>
      </c>
      <c r="F41" s="1" t="s">
        <v>8</v>
      </c>
      <c r="G41" s="1">
        <v>0.1</v>
      </c>
      <c r="H41" s="1" t="s">
        <v>9</v>
      </c>
      <c r="I41" s="1">
        <v>0</v>
      </c>
      <c r="J41" s="1" t="s">
        <v>10</v>
      </c>
      <c r="K41" s="1">
        <v>0</v>
      </c>
    </row>
    <row r="42" spans="1:11" x14ac:dyDescent="0.25">
      <c r="A42" s="1" t="s">
        <v>11</v>
      </c>
    </row>
    <row r="43" spans="1:11" x14ac:dyDescent="0.25">
      <c r="A43" s="1" t="s">
        <v>11</v>
      </c>
    </row>
    <row r="44" spans="1:11" x14ac:dyDescent="0.25">
      <c r="A44" s="1" t="s">
        <v>11</v>
      </c>
    </row>
    <row r="45" spans="1:11" x14ac:dyDescent="0.25">
      <c r="A45" s="1" t="s">
        <v>58</v>
      </c>
      <c r="B45" s="1" t="s">
        <v>60</v>
      </c>
      <c r="C45" s="2" t="s">
        <v>6</v>
      </c>
      <c r="D45" s="1" t="s">
        <v>61</v>
      </c>
      <c r="E45" s="1" t="s">
        <v>7</v>
      </c>
      <c r="F45" s="1" t="s">
        <v>62</v>
      </c>
      <c r="G45" s="1" t="s">
        <v>8</v>
      </c>
    </row>
    <row r="46" spans="1:11" x14ac:dyDescent="0.25">
      <c r="A46" s="1" t="s">
        <v>59</v>
      </c>
      <c r="B46" s="1" t="s">
        <v>60</v>
      </c>
      <c r="C46" s="2" t="s">
        <v>73</v>
      </c>
      <c r="D46" s="1" t="s">
        <v>61</v>
      </c>
      <c r="E46" s="1" t="s">
        <v>27</v>
      </c>
      <c r="F46" s="1" t="s">
        <v>62</v>
      </c>
      <c r="G46" s="1" t="s">
        <v>35</v>
      </c>
    </row>
    <row r="47" spans="1:11" x14ac:dyDescent="0.25">
      <c r="A47" s="1" t="s">
        <v>57</v>
      </c>
    </row>
    <row r="48" spans="1:11" x14ac:dyDescent="0.25">
      <c r="A48" s="1" t="s">
        <v>37</v>
      </c>
      <c r="B48" s="1" t="s">
        <v>38</v>
      </c>
      <c r="C48" s="2" t="s">
        <v>39</v>
      </c>
      <c r="D48" s="1" t="s">
        <v>40</v>
      </c>
      <c r="E48" s="1" t="s">
        <v>41</v>
      </c>
      <c r="F48" s="1" t="s">
        <v>40</v>
      </c>
      <c r="G48" s="1" t="s">
        <v>42</v>
      </c>
      <c r="H48" s="1" t="s">
        <v>40</v>
      </c>
      <c r="I48" s="1" t="s">
        <v>51</v>
      </c>
      <c r="J48" s="1" t="s">
        <v>40</v>
      </c>
    </row>
    <row r="49" spans="1:10" x14ac:dyDescent="0.25">
      <c r="A49" s="1" t="s">
        <v>43</v>
      </c>
      <c r="B49" s="1" t="s">
        <v>53</v>
      </c>
      <c r="C49" s="2" t="s">
        <v>44</v>
      </c>
      <c r="D49" s="1">
        <f>4*PI()*H49^2</f>
        <v>5026.5482457436692</v>
      </c>
      <c r="E49" s="1" t="s">
        <v>45</v>
      </c>
      <c r="F49" s="1">
        <f>4/3*PI()*H49^3</f>
        <v>33510.321638291127</v>
      </c>
      <c r="G49" s="1" t="s">
        <v>46</v>
      </c>
      <c r="H49" s="1">
        <v>20</v>
      </c>
      <c r="I49" s="1" t="s">
        <v>52</v>
      </c>
      <c r="J49" s="1">
        <v>10</v>
      </c>
    </row>
    <row r="50" spans="1:10" x14ac:dyDescent="0.25">
      <c r="A50" s="1" t="s">
        <v>43</v>
      </c>
      <c r="B50" s="1" t="s">
        <v>54</v>
      </c>
      <c r="C50" s="2" t="s">
        <v>6</v>
      </c>
      <c r="D50" s="1">
        <f>D49</f>
        <v>5026.5482457436692</v>
      </c>
    </row>
    <row r="51" spans="1:10" x14ac:dyDescent="0.25">
      <c r="A51" s="1" t="s">
        <v>43</v>
      </c>
      <c r="B51" s="1" t="s">
        <v>55</v>
      </c>
      <c r="C51" s="2" t="s">
        <v>27</v>
      </c>
      <c r="D51" s="1">
        <v>0</v>
      </c>
    </row>
    <row r="52" spans="1:10" x14ac:dyDescent="0.25">
      <c r="A52" s="1" t="s">
        <v>43</v>
      </c>
      <c r="B52" s="1" t="s">
        <v>56</v>
      </c>
      <c r="C52" s="2" t="s">
        <v>23</v>
      </c>
      <c r="D52" s="1">
        <f>D49/100</f>
        <v>50.26548245743669</v>
      </c>
      <c r="E52" s="1" t="s">
        <v>35</v>
      </c>
      <c r="F52" s="1">
        <v>0</v>
      </c>
    </row>
    <row r="53" spans="1:10" x14ac:dyDescent="0.25">
      <c r="A53" s="1" t="s">
        <v>47</v>
      </c>
      <c r="B53" s="1" t="s">
        <v>53</v>
      </c>
      <c r="C53" s="2" t="s">
        <v>44</v>
      </c>
      <c r="D53" s="1">
        <f>D49</f>
        <v>5026.5482457436692</v>
      </c>
      <c r="E53" s="1" t="s">
        <v>45</v>
      </c>
      <c r="F53" s="1">
        <f>D53*5</f>
        <v>25132.741228718347</v>
      </c>
      <c r="G53" s="1" t="s">
        <v>46</v>
      </c>
      <c r="H53" s="1">
        <f>(F53*3/4/PI())^(1/3)</f>
        <v>18.171205928321388</v>
      </c>
      <c r="I53" s="1" t="s">
        <v>52</v>
      </c>
      <c r="J53" s="1">
        <v>10</v>
      </c>
    </row>
    <row r="54" spans="1:10" x14ac:dyDescent="0.25">
      <c r="A54" s="1" t="s">
        <v>47</v>
      </c>
      <c r="B54" s="1" t="s">
        <v>54</v>
      </c>
      <c r="C54" s="2" t="s">
        <v>7</v>
      </c>
      <c r="D54" s="1">
        <f>D53</f>
        <v>5026.5482457436692</v>
      </c>
    </row>
    <row r="55" spans="1:10" x14ac:dyDescent="0.25">
      <c r="A55" s="1" t="s">
        <v>47</v>
      </c>
      <c r="B55" s="1" t="s">
        <v>55</v>
      </c>
      <c r="C55" s="2" t="s">
        <v>27</v>
      </c>
      <c r="D55" s="1">
        <v>0</v>
      </c>
    </row>
    <row r="56" spans="1:10" x14ac:dyDescent="0.25">
      <c r="A56" s="1" t="s">
        <v>47</v>
      </c>
      <c r="B56" s="1" t="s">
        <v>56</v>
      </c>
      <c r="C56" s="2" t="s">
        <v>23</v>
      </c>
      <c r="D56" s="1">
        <f>D53/100</f>
        <v>50.26548245743669</v>
      </c>
    </row>
    <row r="57" spans="1:10" x14ac:dyDescent="0.25">
      <c r="A57" s="1" t="s">
        <v>48</v>
      </c>
      <c r="B57" s="1" t="s">
        <v>53</v>
      </c>
      <c r="C57" s="2" t="s">
        <v>44</v>
      </c>
      <c r="D57" s="1">
        <f>D49*2</f>
        <v>10053.096491487338</v>
      </c>
      <c r="E57" s="1" t="s">
        <v>45</v>
      </c>
      <c r="F57" s="1">
        <f>D57*5</f>
        <v>50265.482457436694</v>
      </c>
      <c r="G57" s="1" t="s">
        <v>46</v>
      </c>
      <c r="H57" s="1">
        <f>(F57*3/4/PI())^(1/3)</f>
        <v>22.894284851066633</v>
      </c>
      <c r="I57" s="1" t="s">
        <v>52</v>
      </c>
      <c r="J57" s="1">
        <v>10</v>
      </c>
    </row>
    <row r="58" spans="1:10" x14ac:dyDescent="0.25">
      <c r="A58" s="1" t="s">
        <v>48</v>
      </c>
      <c r="B58" s="1" t="s">
        <v>54</v>
      </c>
      <c r="C58" s="2" t="s">
        <v>8</v>
      </c>
      <c r="D58" s="1">
        <f>D57</f>
        <v>10053.096491487338</v>
      </c>
    </row>
    <row r="59" spans="1:10" x14ac:dyDescent="0.25">
      <c r="A59" s="1" t="s">
        <v>48</v>
      </c>
      <c r="B59" s="1" t="s">
        <v>55</v>
      </c>
      <c r="C59" s="2" t="s">
        <v>27</v>
      </c>
      <c r="D59" s="1">
        <v>0</v>
      </c>
    </row>
    <row r="60" spans="1:10" x14ac:dyDescent="0.25">
      <c r="A60" s="1" t="s">
        <v>48</v>
      </c>
      <c r="B60" s="1" t="s">
        <v>56</v>
      </c>
      <c r="C60" s="2" t="s">
        <v>23</v>
      </c>
      <c r="D60" s="1">
        <f>D57/100</f>
        <v>100.53096491487338</v>
      </c>
      <c r="E60" s="1" t="s">
        <v>25</v>
      </c>
      <c r="F60" s="1">
        <f>D57/1000</f>
        <v>10.053096491487338</v>
      </c>
    </row>
    <row r="61" spans="1:10" x14ac:dyDescent="0.25">
      <c r="A61" s="1" t="s">
        <v>49</v>
      </c>
      <c r="B61" s="1" t="s">
        <v>53</v>
      </c>
      <c r="C61" s="2" t="s">
        <v>44</v>
      </c>
      <c r="D61" s="1">
        <f>4*PI()*H61^2</f>
        <v>20106.192982974677</v>
      </c>
      <c r="E61" s="1" t="s">
        <v>45</v>
      </c>
      <c r="F61" s="1">
        <f>4/3*PI()*H61^3</f>
        <v>268082.57310632901</v>
      </c>
      <c r="G61" s="1" t="s">
        <v>46</v>
      </c>
      <c r="H61" s="1">
        <v>40</v>
      </c>
      <c r="I61" s="1" t="s">
        <v>52</v>
      </c>
      <c r="J61" s="1">
        <v>4</v>
      </c>
    </row>
    <row r="62" spans="1:10" x14ac:dyDescent="0.25">
      <c r="A62" s="1" t="s">
        <v>49</v>
      </c>
      <c r="B62" s="1" t="s">
        <v>54</v>
      </c>
      <c r="C62" s="2" t="s">
        <v>9</v>
      </c>
      <c r="D62" s="1">
        <f>D61</f>
        <v>20106.192982974677</v>
      </c>
    </row>
    <row r="63" spans="1:10" x14ac:dyDescent="0.25">
      <c r="A63" s="1" t="s">
        <v>49</v>
      </c>
      <c r="B63" s="1" t="s">
        <v>55</v>
      </c>
      <c r="C63" s="2" t="s">
        <v>30</v>
      </c>
      <c r="D63" s="1">
        <f>F61/10</f>
        <v>26808.2573106329</v>
      </c>
    </row>
    <row r="64" spans="1:10" x14ac:dyDescent="0.25">
      <c r="A64" s="1" t="s">
        <v>49</v>
      </c>
      <c r="B64" s="1" t="s">
        <v>56</v>
      </c>
      <c r="C64" s="2" t="s">
        <v>25</v>
      </c>
      <c r="D64" s="1">
        <v>0</v>
      </c>
    </row>
    <row r="65" spans="1:10" x14ac:dyDescent="0.25">
      <c r="A65" s="1" t="s">
        <v>50</v>
      </c>
      <c r="B65" s="1" t="s">
        <v>53</v>
      </c>
      <c r="C65" s="2" t="s">
        <v>44</v>
      </c>
      <c r="D65" s="1">
        <f>D53</f>
        <v>5026.5482457436692</v>
      </c>
      <c r="E65" s="1" t="s">
        <v>45</v>
      </c>
      <c r="F65" s="1">
        <f>F53</f>
        <v>25132.741228718347</v>
      </c>
      <c r="G65" s="1" t="s">
        <v>46</v>
      </c>
      <c r="H65" s="1">
        <f>(F65*3/4/PI())^(1/3)</f>
        <v>18.171205928321388</v>
      </c>
      <c r="I65" s="1" t="s">
        <v>52</v>
      </c>
      <c r="J65" s="1">
        <v>10</v>
      </c>
    </row>
    <row r="66" spans="1:10" x14ac:dyDescent="0.25">
      <c r="A66" s="1" t="s">
        <v>50</v>
      </c>
      <c r="B66" s="1" t="s">
        <v>54</v>
      </c>
      <c r="C66" s="2" t="s">
        <v>10</v>
      </c>
      <c r="D66" s="1">
        <f>D65</f>
        <v>5026.5482457436692</v>
      </c>
    </row>
    <row r="67" spans="1:10" x14ac:dyDescent="0.25">
      <c r="A67" s="1" t="s">
        <v>50</v>
      </c>
      <c r="B67" s="1" t="s">
        <v>55</v>
      </c>
      <c r="C67" s="2" t="s">
        <v>27</v>
      </c>
      <c r="D67" s="1">
        <v>0</v>
      </c>
    </row>
    <row r="68" spans="1:10" x14ac:dyDescent="0.25">
      <c r="A68" s="1" t="s">
        <v>50</v>
      </c>
      <c r="B68" s="1" t="s">
        <v>56</v>
      </c>
      <c r="C68" s="2" t="s">
        <v>25</v>
      </c>
      <c r="D68" s="1">
        <f>D66</f>
        <v>5026.5482457436692</v>
      </c>
    </row>
    <row r="69" spans="1:10" x14ac:dyDescent="0.25">
      <c r="A69" s="1" t="s">
        <v>64</v>
      </c>
      <c r="B69" s="1" t="s">
        <v>53</v>
      </c>
      <c r="C69" s="2" t="s">
        <v>44</v>
      </c>
      <c r="D69" s="1">
        <v>20106.192982974677</v>
      </c>
      <c r="E69" s="1" t="s">
        <v>45</v>
      </c>
      <c r="F69" s="1">
        <v>268082.57310632901</v>
      </c>
      <c r="G69" s="1" t="s">
        <v>46</v>
      </c>
      <c r="H69" s="1">
        <v>40</v>
      </c>
      <c r="I69" s="1" t="s">
        <v>52</v>
      </c>
      <c r="J69" s="1">
        <v>1</v>
      </c>
    </row>
    <row r="70" spans="1:10" x14ac:dyDescent="0.25">
      <c r="A70" s="1" t="s">
        <v>64</v>
      </c>
      <c r="B70" s="1" t="s">
        <v>54</v>
      </c>
      <c r="C70" s="2" t="s">
        <v>9</v>
      </c>
      <c r="D70" s="1">
        <v>20106.192982974677</v>
      </c>
    </row>
    <row r="71" spans="1:10" x14ac:dyDescent="0.25">
      <c r="A71" s="1" t="s">
        <v>64</v>
      </c>
      <c r="B71" s="1" t="s">
        <v>55</v>
      </c>
      <c r="C71" s="2" t="s">
        <v>30</v>
      </c>
      <c r="D71" s="1">
        <v>26808.2573106329</v>
      </c>
      <c r="E71" s="1" t="s">
        <v>63</v>
      </c>
      <c r="F71" s="1">
        <v>1</v>
      </c>
    </row>
    <row r="72" spans="1:10" x14ac:dyDescent="0.25">
      <c r="A72" s="1" t="s">
        <v>64</v>
      </c>
      <c r="B72" s="1" t="s">
        <v>56</v>
      </c>
      <c r="C72" s="2" t="s">
        <v>25</v>
      </c>
      <c r="D72" s="1">
        <v>0</v>
      </c>
    </row>
    <row r="73" spans="1:10" x14ac:dyDescent="0.25">
      <c r="A73" s="1" t="s">
        <v>11</v>
      </c>
    </row>
    <row r="74" spans="1:10" x14ac:dyDescent="0.25">
      <c r="A74" s="1" t="s">
        <v>11</v>
      </c>
    </row>
    <row r="75" spans="1:10" x14ac:dyDescent="0.25">
      <c r="A75" s="1" t="s">
        <v>11</v>
      </c>
    </row>
    <row r="76" spans="1:10" x14ac:dyDescent="0.25">
      <c r="A76" s="1" t="s">
        <v>11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L12"/>
  <sheetViews>
    <sheetView tabSelected="1" zoomScale="69" zoomScaleNormal="69" workbookViewId="0">
      <selection activeCell="A12" sqref="A12"/>
    </sheetView>
  </sheetViews>
  <sheetFormatPr baseColWidth="10" defaultRowHeight="15" x14ac:dyDescent="0.25"/>
  <cols>
    <col min="4" max="4" width="4.28515625" customWidth="1"/>
    <col min="8" max="8" width="4.5703125" customWidth="1"/>
  </cols>
  <sheetData>
    <row r="1" spans="1:12" x14ac:dyDescent="0.25">
      <c r="A1" t="s">
        <v>69</v>
      </c>
      <c r="I1" t="s">
        <v>67</v>
      </c>
      <c r="J1" t="s">
        <v>68</v>
      </c>
      <c r="K1" t="s">
        <v>75</v>
      </c>
    </row>
    <row r="2" spans="1:12" x14ac:dyDescent="0.25">
      <c r="A2" s="4" t="s">
        <v>7</v>
      </c>
      <c r="B2" s="5" t="s">
        <v>8</v>
      </c>
      <c r="C2" s="6" t="s">
        <v>9</v>
      </c>
      <c r="E2" s="4" t="s">
        <v>73</v>
      </c>
      <c r="F2" s="5" t="s">
        <v>35</v>
      </c>
      <c r="G2" s="6" t="s">
        <v>35</v>
      </c>
      <c r="I2" s="8"/>
      <c r="J2" s="8">
        <v>0</v>
      </c>
      <c r="K2" s="8">
        <v>0</v>
      </c>
    </row>
    <row r="3" spans="1:12" ht="15.75" x14ac:dyDescent="0.25">
      <c r="A3" s="7" t="s">
        <v>6</v>
      </c>
      <c r="B3" s="7" t="s">
        <v>6</v>
      </c>
      <c r="C3" s="7" t="s">
        <v>6</v>
      </c>
      <c r="D3" s="3"/>
      <c r="E3" s="1" t="s">
        <v>23</v>
      </c>
      <c r="F3" s="1" t="s">
        <v>23</v>
      </c>
      <c r="G3" s="1" t="s">
        <v>23</v>
      </c>
      <c r="I3" s="1">
        <v>0</v>
      </c>
      <c r="J3">
        <v>0</v>
      </c>
      <c r="K3">
        <v>0</v>
      </c>
    </row>
    <row r="4" spans="1:12" x14ac:dyDescent="0.25">
      <c r="A4" s="7" t="s">
        <v>7</v>
      </c>
      <c r="B4" s="7" t="s">
        <v>7</v>
      </c>
      <c r="C4" s="7" t="s">
        <v>7</v>
      </c>
      <c r="E4" s="2" t="s">
        <v>24</v>
      </c>
      <c r="F4" s="2" t="s">
        <v>24</v>
      </c>
      <c r="G4" s="2" t="s">
        <v>24</v>
      </c>
      <c r="I4">
        <v>5000</v>
      </c>
      <c r="J4" s="7">
        <v>30000</v>
      </c>
      <c r="K4" s="7">
        <v>10</v>
      </c>
    </row>
    <row r="5" spans="1:12" x14ac:dyDescent="0.25">
      <c r="A5" s="7" t="s">
        <v>8</v>
      </c>
      <c r="B5" s="7" t="s">
        <v>8</v>
      </c>
      <c r="C5" s="7" t="s">
        <v>8</v>
      </c>
      <c r="E5" s="1" t="s">
        <v>25</v>
      </c>
      <c r="F5" s="1" t="s">
        <v>25</v>
      </c>
      <c r="G5" s="1" t="s">
        <v>25</v>
      </c>
    </row>
    <row r="6" spans="1:12" x14ac:dyDescent="0.25">
      <c r="A6" s="7" t="s">
        <v>9</v>
      </c>
      <c r="B6" s="7" t="s">
        <v>9</v>
      </c>
      <c r="C6" s="7" t="s">
        <v>9</v>
      </c>
      <c r="E6" s="1" t="s">
        <v>27</v>
      </c>
      <c r="F6" s="1" t="s">
        <v>27</v>
      </c>
      <c r="G6" s="1" t="s">
        <v>27</v>
      </c>
    </row>
    <row r="7" spans="1:12" x14ac:dyDescent="0.25">
      <c r="A7" s="7" t="s">
        <v>10</v>
      </c>
      <c r="B7" s="7" t="s">
        <v>10</v>
      </c>
      <c r="C7" s="7" t="s">
        <v>10</v>
      </c>
      <c r="E7" s="2" t="s">
        <v>28</v>
      </c>
      <c r="F7" s="2" t="s">
        <v>28</v>
      </c>
      <c r="G7" s="2" t="s">
        <v>28</v>
      </c>
    </row>
    <row r="8" spans="1:12" x14ac:dyDescent="0.25">
      <c r="E8" s="1" t="s">
        <v>29</v>
      </c>
      <c r="F8" s="1" t="s">
        <v>29</v>
      </c>
      <c r="G8" s="1" t="s">
        <v>29</v>
      </c>
    </row>
    <row r="9" spans="1:12" x14ac:dyDescent="0.25">
      <c r="E9" s="1" t="s">
        <v>30</v>
      </c>
      <c r="F9" s="1" t="s">
        <v>30</v>
      </c>
      <c r="G9" s="1" t="s">
        <v>30</v>
      </c>
    </row>
    <row r="10" spans="1:12" x14ac:dyDescent="0.25">
      <c r="E10" s="1" t="s">
        <v>35</v>
      </c>
      <c r="F10" s="1" t="s">
        <v>35</v>
      </c>
      <c r="G10" s="1" t="s">
        <v>35</v>
      </c>
      <c r="J10" s="1"/>
      <c r="K10" s="1"/>
      <c r="L10" s="1"/>
    </row>
    <row r="11" spans="1:12" x14ac:dyDescent="0.25">
      <c r="E11" s="1" t="s">
        <v>73</v>
      </c>
      <c r="F11" s="1" t="s">
        <v>73</v>
      </c>
      <c r="G11" s="1" t="s">
        <v>73</v>
      </c>
      <c r="L11" s="1"/>
    </row>
    <row r="12" spans="1:12" x14ac:dyDescent="0.25">
      <c r="A12" t="s">
        <v>66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S71"/>
  <sheetViews>
    <sheetView workbookViewId="0">
      <selection sqref="A1:Z71"/>
    </sheetView>
  </sheetViews>
  <sheetFormatPr baseColWidth="10" defaultRowHeight="15" x14ac:dyDescent="0.25"/>
  <cols>
    <col min="1" max="1" width="22.42578125" style="1" customWidth="1"/>
    <col min="2" max="2" width="23.7109375" style="1" customWidth="1"/>
    <col min="3" max="3" width="11.42578125" style="2"/>
    <col min="4" max="15" width="11.42578125" style="1"/>
  </cols>
  <sheetData>
    <row r="1" spans="1:19" x14ac:dyDescent="0.25">
      <c r="A1" s="1" t="s">
        <v>0</v>
      </c>
    </row>
    <row r="2" spans="1:19" x14ac:dyDescent="0.25">
      <c r="A2" s="1" t="s">
        <v>1</v>
      </c>
      <c r="B2" s="1" t="s">
        <v>2</v>
      </c>
      <c r="C2" s="2">
        <v>10</v>
      </c>
      <c r="D2" s="1" t="s">
        <v>3</v>
      </c>
      <c r="E2" s="2">
        <v>20</v>
      </c>
      <c r="F2" s="1" t="s">
        <v>4</v>
      </c>
      <c r="G2" s="2">
        <v>10000</v>
      </c>
      <c r="H2" s="1" t="s">
        <v>70</v>
      </c>
      <c r="I2" s="1">
        <v>1</v>
      </c>
    </row>
    <row r="3" spans="1:19" x14ac:dyDescent="0.25">
      <c r="A3" s="1" t="s">
        <v>11</v>
      </c>
    </row>
    <row r="4" spans="1:19" x14ac:dyDescent="0.25">
      <c r="A4" s="1" t="s">
        <v>11</v>
      </c>
    </row>
    <row r="5" spans="1:19" x14ac:dyDescent="0.25">
      <c r="A5" s="1" t="s">
        <v>5</v>
      </c>
      <c r="B5" s="1" t="s">
        <v>6</v>
      </c>
      <c r="C5" s="2">
        <v>0</v>
      </c>
      <c r="D5" s="1" t="s">
        <v>7</v>
      </c>
      <c r="E5" s="2">
        <v>0</v>
      </c>
      <c r="F5" s="1" t="s">
        <v>8</v>
      </c>
      <c r="G5" s="2">
        <v>2000</v>
      </c>
      <c r="H5" s="1" t="s">
        <v>9</v>
      </c>
      <c r="I5" s="2">
        <v>2000</v>
      </c>
      <c r="J5" s="1" t="s">
        <v>10</v>
      </c>
      <c r="K5" s="2">
        <v>0</v>
      </c>
    </row>
    <row r="6" spans="1:19" x14ac:dyDescent="0.25">
      <c r="A6" s="1" t="s">
        <v>11</v>
      </c>
    </row>
    <row r="7" spans="1:19" x14ac:dyDescent="0.25">
      <c r="A7" s="1" t="s">
        <v>11</v>
      </c>
    </row>
    <row r="8" spans="1:19" x14ac:dyDescent="0.25">
      <c r="A8" s="1" t="s">
        <v>11</v>
      </c>
    </row>
    <row r="9" spans="1:19" x14ac:dyDescent="0.25">
      <c r="A9" s="1" t="s">
        <v>11</v>
      </c>
    </row>
    <row r="10" spans="1:19" x14ac:dyDescent="0.25">
      <c r="A10" s="1" t="s">
        <v>11</v>
      </c>
    </row>
    <row r="11" spans="1:19" x14ac:dyDescent="0.25">
      <c r="A11" s="1" t="s">
        <v>11</v>
      </c>
    </row>
    <row r="12" spans="1:19" x14ac:dyDescent="0.25">
      <c r="A12" s="1" t="s">
        <v>11</v>
      </c>
    </row>
    <row r="13" spans="1:19" x14ac:dyDescent="0.25">
      <c r="A13" s="1" t="s">
        <v>11</v>
      </c>
    </row>
    <row r="14" spans="1:19" x14ac:dyDescent="0.25">
      <c r="A14" s="1" t="s">
        <v>11</v>
      </c>
    </row>
    <row r="15" spans="1:19" x14ac:dyDescent="0.25">
      <c r="A15" s="1" t="s">
        <v>12</v>
      </c>
    </row>
    <row r="16" spans="1:19" x14ac:dyDescent="0.25">
      <c r="A16" s="1" t="s">
        <v>13</v>
      </c>
      <c r="B16" s="1" t="s">
        <v>14</v>
      </c>
      <c r="C16" s="2">
        <v>1</v>
      </c>
      <c r="D16" s="1" t="s">
        <v>15</v>
      </c>
      <c r="E16" s="2">
        <v>1</v>
      </c>
      <c r="F16" s="1" t="s">
        <v>16</v>
      </c>
      <c r="G16" s="2">
        <v>1</v>
      </c>
      <c r="H16" s="1" t="s">
        <v>17</v>
      </c>
      <c r="I16" s="2">
        <v>1</v>
      </c>
      <c r="J16" s="1" t="s">
        <v>18</v>
      </c>
      <c r="K16" s="2">
        <v>1</v>
      </c>
      <c r="L16" s="1" t="s">
        <v>19</v>
      </c>
      <c r="M16" s="2">
        <v>0.1</v>
      </c>
      <c r="N16" s="1" t="s">
        <v>20</v>
      </c>
      <c r="O16" s="2">
        <v>0.01</v>
      </c>
      <c r="P16" s="1" t="s">
        <v>21</v>
      </c>
      <c r="Q16" s="2">
        <v>0.01</v>
      </c>
      <c r="R16" s="1" t="s">
        <v>65</v>
      </c>
      <c r="S16" s="2">
        <v>0.01</v>
      </c>
    </row>
    <row r="17" spans="1:11" x14ac:dyDescent="0.25">
      <c r="A17" s="1" t="s">
        <v>11</v>
      </c>
    </row>
    <row r="18" spans="1:11" x14ac:dyDescent="0.25">
      <c r="A18" s="1" t="s">
        <v>11</v>
      </c>
    </row>
    <row r="19" spans="1:11" x14ac:dyDescent="0.25">
      <c r="A19" s="1" t="s">
        <v>11</v>
      </c>
    </row>
    <row r="20" spans="1:11" x14ac:dyDescent="0.25">
      <c r="A20" s="1" t="s">
        <v>11</v>
      </c>
    </row>
    <row r="21" spans="1:11" x14ac:dyDescent="0.25">
      <c r="A21" s="1" t="s">
        <v>11</v>
      </c>
    </row>
    <row r="22" spans="1:11" x14ac:dyDescent="0.25">
      <c r="A22" s="1" t="s">
        <v>11</v>
      </c>
    </row>
    <row r="23" spans="1:11" x14ac:dyDescent="0.25">
      <c r="A23" s="1" t="s">
        <v>11</v>
      </c>
    </row>
    <row r="24" spans="1:11" x14ac:dyDescent="0.25">
      <c r="A24" s="1" t="s">
        <v>11</v>
      </c>
    </row>
    <row r="25" spans="1:11" x14ac:dyDescent="0.25">
      <c r="A25" s="1" t="s">
        <v>22</v>
      </c>
      <c r="B25" s="1" t="s">
        <v>23</v>
      </c>
      <c r="C25" s="2" t="s">
        <v>24</v>
      </c>
      <c r="D25" s="1" t="s">
        <v>25</v>
      </c>
    </row>
    <row r="26" spans="1:11" x14ac:dyDescent="0.25">
      <c r="A26" s="1" t="s">
        <v>26</v>
      </c>
      <c r="B26" s="1" t="s">
        <v>27</v>
      </c>
      <c r="C26" s="2" t="s">
        <v>28</v>
      </c>
      <c r="D26" s="1" t="s">
        <v>29</v>
      </c>
      <c r="E26" s="1" t="s">
        <v>30</v>
      </c>
      <c r="F26" s="1" t="s">
        <v>31</v>
      </c>
      <c r="G26" s="1" t="s">
        <v>63</v>
      </c>
    </row>
    <row r="27" spans="1:11" x14ac:dyDescent="0.2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11" x14ac:dyDescent="0.25">
      <c r="A28" s="1" t="s">
        <v>33</v>
      </c>
      <c r="B28" s="1" t="s">
        <v>6</v>
      </c>
      <c r="C28" s="2">
        <v>0.5</v>
      </c>
      <c r="D28" s="1" t="s">
        <v>7</v>
      </c>
      <c r="E28" s="2">
        <v>0.5</v>
      </c>
      <c r="F28" s="1" t="s">
        <v>8</v>
      </c>
      <c r="G28" s="2">
        <v>0.5</v>
      </c>
      <c r="H28" s="1" t="s">
        <v>9</v>
      </c>
      <c r="I28" s="2">
        <v>0</v>
      </c>
      <c r="J28" s="1" t="s">
        <v>10</v>
      </c>
      <c r="K28" s="2">
        <v>0.5</v>
      </c>
    </row>
    <row r="29" spans="1:11" x14ac:dyDescent="0.25">
      <c r="A29" s="1" t="s">
        <v>11</v>
      </c>
    </row>
    <row r="30" spans="1:11" x14ac:dyDescent="0.25">
      <c r="A30" s="1" t="s">
        <v>11</v>
      </c>
    </row>
    <row r="31" spans="1:11" x14ac:dyDescent="0.25">
      <c r="A31" s="1" t="s">
        <v>11</v>
      </c>
    </row>
    <row r="32" spans="1:11" x14ac:dyDescent="0.25">
      <c r="A32" s="1" t="s">
        <v>11</v>
      </c>
    </row>
    <row r="33" spans="1:11" x14ac:dyDescent="0.25">
      <c r="A33" s="1" t="s">
        <v>34</v>
      </c>
      <c r="B33" s="1" t="s">
        <v>35</v>
      </c>
      <c r="C33" s="2" t="s">
        <v>7</v>
      </c>
      <c r="D33" s="1" t="s">
        <v>8</v>
      </c>
    </row>
    <row r="34" spans="1:11" x14ac:dyDescent="0.25">
      <c r="A34" s="1" t="s">
        <v>34</v>
      </c>
      <c r="B34" s="1" t="s">
        <v>31</v>
      </c>
      <c r="C34" s="2">
        <v>0</v>
      </c>
    </row>
    <row r="35" spans="1:11" x14ac:dyDescent="0.25">
      <c r="A35" s="1" t="s">
        <v>34</v>
      </c>
      <c r="B35" s="1" t="s">
        <v>63</v>
      </c>
      <c r="C35" s="2">
        <v>0</v>
      </c>
    </row>
    <row r="36" spans="1:11" x14ac:dyDescent="0.25">
      <c r="A36" s="1" t="s">
        <v>34</v>
      </c>
      <c r="B36" s="1" t="s">
        <v>23</v>
      </c>
      <c r="C36" s="2" t="s">
        <v>6</v>
      </c>
      <c r="D36" s="1" t="s">
        <v>7</v>
      </c>
      <c r="E36" s="1" t="s">
        <v>8</v>
      </c>
    </row>
    <row r="37" spans="1:11" x14ac:dyDescent="0.25">
      <c r="A37" s="1" t="s">
        <v>34</v>
      </c>
      <c r="B37" s="1" t="s">
        <v>24</v>
      </c>
      <c r="C37" s="2" t="s">
        <v>6</v>
      </c>
      <c r="D37" s="1" t="s">
        <v>7</v>
      </c>
      <c r="E37" s="1" t="s">
        <v>8</v>
      </c>
    </row>
    <row r="38" spans="1:11" x14ac:dyDescent="0.25">
      <c r="A38" s="1" t="s">
        <v>34</v>
      </c>
      <c r="B38" s="1" t="s">
        <v>25</v>
      </c>
      <c r="C38" s="2" t="s">
        <v>8</v>
      </c>
      <c r="D38" s="1" t="s">
        <v>10</v>
      </c>
    </row>
    <row r="39" spans="1:11" x14ac:dyDescent="0.25">
      <c r="A39" s="1" t="s">
        <v>36</v>
      </c>
      <c r="B39" s="1" t="s">
        <v>6</v>
      </c>
      <c r="C39" s="2">
        <v>0</v>
      </c>
      <c r="D39" s="1" t="s">
        <v>7</v>
      </c>
      <c r="E39" s="2">
        <v>0</v>
      </c>
      <c r="F39" s="1" t="s">
        <v>8</v>
      </c>
      <c r="G39" s="2">
        <v>-1</v>
      </c>
      <c r="H39" s="1" t="s">
        <v>9</v>
      </c>
      <c r="I39" s="2">
        <v>-1</v>
      </c>
      <c r="J39" s="1" t="s">
        <v>10</v>
      </c>
      <c r="K39" s="2">
        <v>-1</v>
      </c>
    </row>
    <row r="40" spans="1:11" x14ac:dyDescent="0.25">
      <c r="A40" s="1" t="s">
        <v>11</v>
      </c>
    </row>
    <row r="41" spans="1:11" x14ac:dyDescent="0.25">
      <c r="A41" s="1" t="s">
        <v>11</v>
      </c>
    </row>
    <row r="42" spans="1:11" x14ac:dyDescent="0.25">
      <c r="A42" s="1" t="s">
        <v>11</v>
      </c>
    </row>
    <row r="43" spans="1:11" x14ac:dyDescent="0.25">
      <c r="A43" s="1" t="s">
        <v>11</v>
      </c>
    </row>
    <row r="44" spans="1:11" x14ac:dyDescent="0.25">
      <c r="A44" s="1" t="s">
        <v>58</v>
      </c>
      <c r="B44" s="1" t="s">
        <v>60</v>
      </c>
      <c r="C44" s="2" t="s">
        <v>6</v>
      </c>
      <c r="D44" s="1" t="s">
        <v>61</v>
      </c>
      <c r="E44" s="1" t="s">
        <v>7</v>
      </c>
      <c r="F44" s="1" t="s">
        <v>62</v>
      </c>
      <c r="G44" s="1" t="s">
        <v>8</v>
      </c>
    </row>
    <row r="45" spans="1:11" x14ac:dyDescent="0.25">
      <c r="A45" s="1" t="s">
        <v>59</v>
      </c>
      <c r="B45" s="1" t="s">
        <v>60</v>
      </c>
      <c r="C45" s="2" t="s">
        <v>35</v>
      </c>
      <c r="D45" s="1" t="s">
        <v>61</v>
      </c>
      <c r="E45" s="1" t="s">
        <v>27</v>
      </c>
      <c r="F45" s="1" t="s">
        <v>62</v>
      </c>
      <c r="G45" s="1" t="s">
        <v>25</v>
      </c>
    </row>
    <row r="46" spans="1:11" x14ac:dyDescent="0.25">
      <c r="A46" s="1" t="s">
        <v>57</v>
      </c>
    </row>
    <row r="47" spans="1:11" x14ac:dyDescent="0.25">
      <c r="A47" s="1" t="s">
        <v>37</v>
      </c>
      <c r="B47" s="1" t="s">
        <v>38</v>
      </c>
      <c r="C47" s="2" t="s">
        <v>39</v>
      </c>
      <c r="D47" s="1" t="s">
        <v>40</v>
      </c>
      <c r="E47" s="1" t="s">
        <v>41</v>
      </c>
      <c r="F47" s="1" t="s">
        <v>40</v>
      </c>
      <c r="G47" s="1" t="s">
        <v>42</v>
      </c>
      <c r="H47" s="1" t="s">
        <v>40</v>
      </c>
      <c r="I47" s="1" t="s">
        <v>51</v>
      </c>
      <c r="J47" s="1" t="s">
        <v>40</v>
      </c>
    </row>
    <row r="48" spans="1:11" x14ac:dyDescent="0.25">
      <c r="A48" s="1" t="s">
        <v>43</v>
      </c>
      <c r="B48" s="1" t="s">
        <v>53</v>
      </c>
      <c r="C48" s="2" t="s">
        <v>44</v>
      </c>
      <c r="D48" s="1">
        <f>4*PI()*H48^2</f>
        <v>5026.5482457436692</v>
      </c>
      <c r="E48" s="1" t="s">
        <v>45</v>
      </c>
      <c r="F48" s="1">
        <f>4/3*PI()*H48^3</f>
        <v>33510.321638291127</v>
      </c>
      <c r="G48" s="1" t="s">
        <v>46</v>
      </c>
      <c r="H48" s="1">
        <v>20</v>
      </c>
      <c r="I48" s="1" t="s">
        <v>52</v>
      </c>
      <c r="J48" s="1">
        <v>10</v>
      </c>
    </row>
    <row r="49" spans="1:10" x14ac:dyDescent="0.25">
      <c r="A49" s="1" t="s">
        <v>43</v>
      </c>
      <c r="B49" s="1" t="s">
        <v>54</v>
      </c>
      <c r="C49" s="2" t="s">
        <v>6</v>
      </c>
      <c r="D49" s="1">
        <f>D48</f>
        <v>5026.5482457436692</v>
      </c>
    </row>
    <row r="50" spans="1:10" x14ac:dyDescent="0.25">
      <c r="A50" s="1" t="s">
        <v>43</v>
      </c>
      <c r="B50" s="1" t="s">
        <v>55</v>
      </c>
      <c r="C50" s="2" t="s">
        <v>27</v>
      </c>
      <c r="D50" s="1">
        <v>0</v>
      </c>
    </row>
    <row r="51" spans="1:10" x14ac:dyDescent="0.25">
      <c r="A51" s="1" t="s">
        <v>43</v>
      </c>
      <c r="B51" s="1" t="s">
        <v>56</v>
      </c>
      <c r="C51" s="2" t="s">
        <v>23</v>
      </c>
      <c r="D51" s="1">
        <f>D48/100</f>
        <v>50.26548245743669</v>
      </c>
      <c r="F51" s="1">
        <v>0</v>
      </c>
    </row>
    <row r="52" spans="1:10" x14ac:dyDescent="0.25">
      <c r="A52" s="1" t="s">
        <v>47</v>
      </c>
      <c r="B52" s="1" t="s">
        <v>53</v>
      </c>
      <c r="C52" s="2" t="s">
        <v>44</v>
      </c>
      <c r="D52" s="1">
        <f>D48</f>
        <v>5026.5482457436692</v>
      </c>
      <c r="E52" s="1" t="s">
        <v>45</v>
      </c>
      <c r="F52" s="1">
        <f>D52*5</f>
        <v>25132.741228718347</v>
      </c>
      <c r="G52" s="1" t="s">
        <v>46</v>
      </c>
      <c r="H52" s="1">
        <f>(F52*3/4/PI())^(1/3)</f>
        <v>18.171205928321388</v>
      </c>
      <c r="I52" s="1" t="s">
        <v>52</v>
      </c>
      <c r="J52" s="1">
        <v>10</v>
      </c>
    </row>
    <row r="53" spans="1:10" x14ac:dyDescent="0.25">
      <c r="A53" s="1" t="s">
        <v>47</v>
      </c>
      <c r="B53" s="1" t="s">
        <v>54</v>
      </c>
      <c r="C53" s="2" t="s">
        <v>7</v>
      </c>
      <c r="D53" s="1">
        <f>D52</f>
        <v>5026.5482457436692</v>
      </c>
    </row>
    <row r="54" spans="1:10" x14ac:dyDescent="0.25">
      <c r="A54" s="1" t="s">
        <v>47</v>
      </c>
      <c r="B54" s="1" t="s">
        <v>55</v>
      </c>
      <c r="C54" s="2" t="s">
        <v>27</v>
      </c>
      <c r="D54" s="1">
        <v>0</v>
      </c>
    </row>
    <row r="55" spans="1:10" x14ac:dyDescent="0.25">
      <c r="A55" s="1" t="s">
        <v>47</v>
      </c>
      <c r="B55" s="1" t="s">
        <v>56</v>
      </c>
      <c r="C55" s="2" t="s">
        <v>23</v>
      </c>
      <c r="D55" s="1">
        <f>D52/100</f>
        <v>50.26548245743669</v>
      </c>
    </row>
    <row r="56" spans="1:10" x14ac:dyDescent="0.25">
      <c r="A56" s="1" t="s">
        <v>48</v>
      </c>
      <c r="B56" s="1" t="s">
        <v>53</v>
      </c>
      <c r="C56" s="2" t="s">
        <v>44</v>
      </c>
      <c r="D56" s="1">
        <f>D48*2</f>
        <v>10053.096491487338</v>
      </c>
      <c r="E56" s="1" t="s">
        <v>45</v>
      </c>
      <c r="F56" s="1">
        <f>D56*5</f>
        <v>50265.482457436694</v>
      </c>
      <c r="G56" s="1" t="s">
        <v>46</v>
      </c>
      <c r="H56" s="1">
        <f>(F56*3/4/PI())^(1/3)</f>
        <v>22.894284851066633</v>
      </c>
      <c r="I56" s="1" t="s">
        <v>52</v>
      </c>
      <c r="J56" s="1">
        <v>10</v>
      </c>
    </row>
    <row r="57" spans="1:10" x14ac:dyDescent="0.25">
      <c r="A57" s="1" t="s">
        <v>48</v>
      </c>
      <c r="B57" s="1" t="s">
        <v>54</v>
      </c>
      <c r="C57" s="2" t="s">
        <v>8</v>
      </c>
      <c r="D57" s="1">
        <f>D56</f>
        <v>10053.096491487338</v>
      </c>
    </row>
    <row r="58" spans="1:10" x14ac:dyDescent="0.25">
      <c r="A58" s="1" t="s">
        <v>48</v>
      </c>
      <c r="B58" s="1" t="s">
        <v>55</v>
      </c>
      <c r="C58" s="2" t="s">
        <v>27</v>
      </c>
      <c r="D58" s="1">
        <v>0</v>
      </c>
    </row>
    <row r="59" spans="1:10" x14ac:dyDescent="0.25">
      <c r="A59" s="1" t="s">
        <v>48</v>
      </c>
      <c r="B59" s="1" t="s">
        <v>56</v>
      </c>
      <c r="C59" s="2" t="s">
        <v>23</v>
      </c>
      <c r="D59" s="1">
        <f>D56/100</f>
        <v>100.53096491487338</v>
      </c>
      <c r="E59" s="1" t="s">
        <v>25</v>
      </c>
      <c r="F59" s="1">
        <f>D56/1000</f>
        <v>10.053096491487338</v>
      </c>
    </row>
    <row r="60" spans="1:10" x14ac:dyDescent="0.25">
      <c r="A60" s="1" t="s">
        <v>49</v>
      </c>
      <c r="B60" s="1" t="s">
        <v>53</v>
      </c>
      <c r="C60" s="2" t="s">
        <v>44</v>
      </c>
      <c r="D60" s="1">
        <f>4*PI()*H60^2</f>
        <v>20106.192982974677</v>
      </c>
      <c r="E60" s="1" t="s">
        <v>45</v>
      </c>
      <c r="F60" s="1">
        <f>4/3*PI()*H60^3</f>
        <v>268082.57310632901</v>
      </c>
      <c r="G60" s="1" t="s">
        <v>46</v>
      </c>
      <c r="H60" s="1">
        <v>40</v>
      </c>
      <c r="I60" s="1" t="s">
        <v>52</v>
      </c>
      <c r="J60" s="1">
        <v>4</v>
      </c>
    </row>
    <row r="61" spans="1:10" x14ac:dyDescent="0.25">
      <c r="A61" s="1" t="s">
        <v>49</v>
      </c>
      <c r="B61" s="1" t="s">
        <v>54</v>
      </c>
      <c r="C61" s="2" t="s">
        <v>9</v>
      </c>
      <c r="D61" s="1">
        <f>D60</f>
        <v>20106.192982974677</v>
      </c>
    </row>
    <row r="62" spans="1:10" x14ac:dyDescent="0.25">
      <c r="A62" s="1" t="s">
        <v>49</v>
      </c>
      <c r="B62" s="1" t="s">
        <v>55</v>
      </c>
      <c r="C62" s="2" t="s">
        <v>30</v>
      </c>
      <c r="D62" s="1">
        <f>F60/10</f>
        <v>26808.2573106329</v>
      </c>
    </row>
    <row r="63" spans="1:10" x14ac:dyDescent="0.25">
      <c r="A63" s="1" t="s">
        <v>49</v>
      </c>
      <c r="B63" s="1" t="s">
        <v>56</v>
      </c>
      <c r="C63" s="2" t="s">
        <v>25</v>
      </c>
      <c r="D63" s="1">
        <v>0</v>
      </c>
    </row>
    <row r="64" spans="1:10" x14ac:dyDescent="0.25">
      <c r="A64" s="1" t="s">
        <v>50</v>
      </c>
      <c r="B64" s="1" t="s">
        <v>53</v>
      </c>
      <c r="C64" s="2" t="s">
        <v>44</v>
      </c>
      <c r="D64" s="1">
        <f>D52</f>
        <v>5026.5482457436692</v>
      </c>
      <c r="E64" s="1" t="s">
        <v>45</v>
      </c>
      <c r="F64" s="1">
        <f>F52</f>
        <v>25132.741228718347</v>
      </c>
      <c r="G64" s="1" t="s">
        <v>46</v>
      </c>
      <c r="H64" s="1">
        <f>(F64*3/4/PI())^(1/3)</f>
        <v>18.171205928321388</v>
      </c>
      <c r="I64" s="1" t="s">
        <v>52</v>
      </c>
      <c r="J64" s="1">
        <v>10</v>
      </c>
    </row>
    <row r="65" spans="1:10" x14ac:dyDescent="0.25">
      <c r="A65" s="1" t="s">
        <v>50</v>
      </c>
      <c r="B65" s="1" t="s">
        <v>54</v>
      </c>
      <c r="C65" s="2" t="s">
        <v>10</v>
      </c>
      <c r="D65" s="1">
        <f>D64</f>
        <v>5026.5482457436692</v>
      </c>
    </row>
    <row r="66" spans="1:10" x14ac:dyDescent="0.25">
      <c r="A66" s="1" t="s">
        <v>50</v>
      </c>
      <c r="B66" s="1" t="s">
        <v>55</v>
      </c>
      <c r="C66" s="2" t="s">
        <v>27</v>
      </c>
      <c r="D66" s="1">
        <v>0</v>
      </c>
    </row>
    <row r="67" spans="1:10" x14ac:dyDescent="0.25">
      <c r="A67" s="1" t="s">
        <v>50</v>
      </c>
      <c r="B67" s="1" t="s">
        <v>56</v>
      </c>
      <c r="C67" s="2" t="s">
        <v>25</v>
      </c>
      <c r="D67" s="1">
        <f>D65</f>
        <v>5026.5482457436692</v>
      </c>
    </row>
    <row r="68" spans="1:10" x14ac:dyDescent="0.25">
      <c r="A68" s="1" t="s">
        <v>64</v>
      </c>
      <c r="B68" s="1" t="s">
        <v>53</v>
      </c>
      <c r="C68" s="2" t="s">
        <v>44</v>
      </c>
      <c r="D68" s="1">
        <v>20106.192982974677</v>
      </c>
      <c r="E68" s="1" t="s">
        <v>45</v>
      </c>
      <c r="F68" s="1">
        <v>268082.57310632901</v>
      </c>
      <c r="G68" s="1" t="s">
        <v>46</v>
      </c>
      <c r="H68" s="1">
        <v>40</v>
      </c>
      <c r="I68" s="1" t="s">
        <v>52</v>
      </c>
      <c r="J68" s="1">
        <v>1</v>
      </c>
    </row>
    <row r="69" spans="1:10" x14ac:dyDescent="0.25">
      <c r="A69" s="1" t="s">
        <v>64</v>
      </c>
      <c r="B69" s="1" t="s">
        <v>54</v>
      </c>
      <c r="C69" s="2" t="s">
        <v>9</v>
      </c>
      <c r="D69" s="1">
        <v>20106.192982974677</v>
      </c>
    </row>
    <row r="70" spans="1:10" x14ac:dyDescent="0.25">
      <c r="A70" s="1" t="s">
        <v>64</v>
      </c>
      <c r="B70" s="1" t="s">
        <v>55</v>
      </c>
      <c r="C70" s="2" t="s">
        <v>30</v>
      </c>
      <c r="D70" s="1">
        <v>26808.2573106329</v>
      </c>
      <c r="E70" s="1" t="s">
        <v>63</v>
      </c>
      <c r="F70" s="1">
        <v>1</v>
      </c>
    </row>
    <row r="71" spans="1:10" x14ac:dyDescent="0.25">
      <c r="A71" s="1" t="s">
        <v>64</v>
      </c>
      <c r="B71" s="1" t="s">
        <v>56</v>
      </c>
      <c r="C71" s="2" t="s">
        <v>25</v>
      </c>
      <c r="D71" s="1"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inicial</vt:lpstr>
      <vt:lpstr>pruebas</vt:lpstr>
      <vt:lpstr>controles</vt:lpstr>
      <vt:lpstr>pruebasRes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lmayorga</dc:creator>
  <cp:lastModifiedBy>lmayorga</cp:lastModifiedBy>
  <dcterms:created xsi:type="dcterms:W3CDTF">2017-02-03T17:11:05Z</dcterms:created>
  <dcterms:modified xsi:type="dcterms:W3CDTF">2017-06-26T21:54:41Z</dcterms:modified>
</cp:coreProperties>
</file>
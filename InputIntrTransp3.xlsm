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72" i="4" l="1"/>
  <c r="D69" i="4"/>
  <c r="I7" i="4"/>
  <c r="G7" i="4"/>
  <c r="C7" i="4"/>
  <c r="G2" i="4"/>
  <c r="D69" i="1" l="1"/>
  <c r="D72" i="1" l="1"/>
  <c r="C7" i="1" l="1"/>
  <c r="I7" i="1"/>
  <c r="G7" i="1" l="1"/>
  <c r="G2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57" i="2" l="1"/>
  <c r="F59" i="2"/>
  <c r="F56" i="2"/>
  <c r="H56" i="2" s="1"/>
  <c r="D59" i="2"/>
  <c r="H52" i="2"/>
  <c r="F64" i="2"/>
  <c r="H64" i="2" s="1"/>
</calcChain>
</file>

<file path=xl/sharedStrings.xml><?xml version="1.0" encoding="utf-8"?>
<sst xmlns="http://schemas.openxmlformats.org/spreadsheetml/2006/main" count="809" uniqueCount="99">
  <si>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</si>
  <si>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</si>
  <si>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</si>
  <si>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</si>
  <si>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</si>
  <si>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</si>
  <si>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</si>
  <si>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</si>
  <si>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</si>
  <si>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</si>
  <si>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</si>
  <si>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</si>
  <si>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</si>
  <si>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</si>
  <si>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</si>
  <si>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</si>
  <si>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</si>
  <si>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</si>
  <si>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</si>
  <si>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</si>
  <si>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</si>
  <si>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</si>
  <si>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</si>
  <si>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</si>
  <si>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</si>
  <si>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</si>
  <si>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</si>
  <si>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</si>
  <si>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</si>
  <si>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</si>
  <si>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</si>
  <si>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</si>
  <si>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</si>
  <si>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</si>
  <si>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</si>
  <si>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</si>
  <si>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</si>
  <si>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</si>
  <si>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</si>
  <si>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</si>
  <si>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</si>
  <si>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</si>
  <si>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</si>
  <si>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</si>
  <si>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</si>
  <si>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</si>
  <si>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</si>
  <si>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</si>
  <si>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</si>
  <si>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</si>
  <si>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</si>
  <si>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</si>
  <si>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</si>
  <si>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</si>
  <si>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</si>
  <si>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</si>
  <si>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</si>
  <si>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</si>
  <si>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</si>
  <si>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</si>
  <si>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</si>
  <si>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</si>
  <si>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</si>
  <si>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</si>
  <si>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</si>
  <si>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</si>
  <si>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</si>
  <si>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</si>
  <si>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</si>
  <si>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</si>
  <si>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</si>
  <si>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</si>
  <si>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</si>
  <si>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</si>
  <si>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</si>
  <si>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</si>
  <si>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</si>
  <si>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</si>
  <si>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</si>
  <si>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</si>
  <si>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</si>
  <si>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</si>
  <si>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</si>
  <si>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</si>
  <si>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</si>
  <si>
    <t>vATPase</t>
  </si>
  <si>
    <t>cMHCI</t>
  </si>
  <si>
    <t>proton</t>
  </si>
  <si>
    <t>RabALevel</t>
  </si>
  <si>
    <t>RabBLevel</t>
  </si>
  <si>
    <t>RabCLevel</t>
  </si>
  <si>
    <t>RabDLevel</t>
  </si>
  <si>
    <t>RabELevel</t>
  </si>
  <si>
    <t>RabB10</t>
  </si>
  <si>
    <t>RabC10</t>
  </si>
  <si>
    <t>RabA10</t>
  </si>
  <si>
    <t>RabD10</t>
  </si>
  <si>
    <t>RabE10</t>
  </si>
  <si>
    <t>sph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</si>
</sst>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tabSelected="1" topLeftCell="A27" zoomScale="74" zoomScaleNormal="74" workbookViewId="0">
      <selection activeCell="D27" sqref="D27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31" x14ac:dyDescent="0.65">
      <c r="A1" s="1" t="s">
        <v>0</v>
      </c>
    </row>
    <row r="2" spans="1:31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0.5</v>
      </c>
      <c r="L2" s="1" t="s">
        <v>71</v>
      </c>
      <c r="M2" s="1">
        <v>1</v>
      </c>
    </row>
    <row r="3" spans="1:31" x14ac:dyDescent="0.65">
      <c r="A3" s="1" t="s">
        <v>11</v>
      </c>
    </row>
    <row r="4" spans="1:31" x14ac:dyDescent="0.65">
      <c r="A4" s="1" t="s">
        <v>11</v>
      </c>
    </row>
    <row r="5" spans="1:31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65">
      <c r="A6" s="1" t="s">
        <v>76</v>
      </c>
      <c r="B6" s="1" t="s">
        <v>75</v>
      </c>
      <c r="C6" s="2">
        <v>0</v>
      </c>
    </row>
    <row r="7" spans="1:31" x14ac:dyDescent="0.6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31" x14ac:dyDescent="0.65">
      <c r="A8" s="1" t="s">
        <v>11</v>
      </c>
    </row>
    <row r="9" spans="1:31" x14ac:dyDescent="0.65">
      <c r="A9" s="1" t="s">
        <v>11</v>
      </c>
    </row>
    <row r="10" spans="1:31" x14ac:dyDescent="0.65">
      <c r="A10" s="1" t="s">
        <v>11</v>
      </c>
    </row>
    <row r="11" spans="1:31" x14ac:dyDescent="0.65">
      <c r="A11" s="1" t="s">
        <v>11</v>
      </c>
    </row>
    <row r="12" spans="1:31" x14ac:dyDescent="0.65">
      <c r="A12" s="1" t="s">
        <v>11</v>
      </c>
    </row>
    <row r="13" spans="1:31" x14ac:dyDescent="0.65">
      <c r="A13" s="1" t="s">
        <v>11</v>
      </c>
    </row>
    <row r="14" spans="1:31" x14ac:dyDescent="0.65">
      <c r="A14" s="1" t="s">
        <v>11</v>
      </c>
    </row>
    <row r="15" spans="1:31" x14ac:dyDescent="0.65">
      <c r="A15" s="1" t="s">
        <v>12</v>
      </c>
    </row>
    <row r="16" spans="1:31" s="8" customFormat="1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65">
      <c r="A17" s="1" t="s">
        <v>11</v>
      </c>
    </row>
    <row r="18" spans="1:15" x14ac:dyDescent="0.65">
      <c r="A18" s="1" t="s">
        <v>11</v>
      </c>
    </row>
    <row r="19" spans="1:15" x14ac:dyDescent="0.65">
      <c r="A19" s="1" t="s">
        <v>11</v>
      </c>
    </row>
    <row r="20" spans="1:15" x14ac:dyDescent="0.65">
      <c r="A20" s="1" t="s">
        <v>11</v>
      </c>
    </row>
    <row r="21" spans="1:15" x14ac:dyDescent="0.65">
      <c r="A21" s="1" t="s">
        <v>11</v>
      </c>
    </row>
    <row r="22" spans="1:15" x14ac:dyDescent="0.65">
      <c r="A22" s="1" t="s">
        <v>11</v>
      </c>
    </row>
    <row r="23" spans="1:15" x14ac:dyDescent="0.65">
      <c r="A23" s="1" t="s">
        <v>11</v>
      </c>
    </row>
    <row r="24" spans="1:15" x14ac:dyDescent="0.65">
      <c r="A24" s="1" t="s">
        <v>11</v>
      </c>
    </row>
    <row r="25" spans="1:1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15" s="13" customFormat="1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65">
      <c r="A29" s="1" t="s">
        <v>11</v>
      </c>
    </row>
    <row r="30" spans="1:15" x14ac:dyDescent="0.65">
      <c r="A30" s="1" t="s">
        <v>34</v>
      </c>
      <c r="B30" s="1" t="s">
        <v>86</v>
      </c>
      <c r="D30" s="1" t="s">
        <v>93</v>
      </c>
      <c r="E30" s="1" t="s">
        <v>94</v>
      </c>
    </row>
    <row r="31" spans="1:15" x14ac:dyDescent="0.65">
      <c r="A31" s="1" t="s">
        <v>34</v>
      </c>
      <c r="B31" s="1" t="s">
        <v>85</v>
      </c>
      <c r="D31" s="1" t="s">
        <v>96</v>
      </c>
    </row>
    <row r="32" spans="1:15" s="8" customFormat="1" x14ac:dyDescent="0.65">
      <c r="A32" s="9" t="s">
        <v>34</v>
      </c>
      <c r="B32" s="9" t="s">
        <v>30</v>
      </c>
      <c r="C32" s="10"/>
      <c r="D32" s="9" t="s">
        <v>97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65">
      <c r="A33" s="9" t="s">
        <v>34</v>
      </c>
      <c r="B33" s="9" t="s">
        <v>35</v>
      </c>
      <c r="C33" s="10"/>
      <c r="D33" s="9" t="s">
        <v>93</v>
      </c>
      <c r="E33" s="1" t="s">
        <v>94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65">
      <c r="A34" s="9" t="s">
        <v>34</v>
      </c>
      <c r="B34" s="9" t="s">
        <v>31</v>
      </c>
      <c r="C34" s="10" t="s">
        <v>98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65">
      <c r="A35" s="9" t="s">
        <v>34</v>
      </c>
      <c r="B35" s="9" t="s">
        <v>63</v>
      </c>
      <c r="C35" s="10" t="s">
        <v>98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65">
      <c r="A36" s="9" t="s">
        <v>34</v>
      </c>
      <c r="B36" s="9" t="s">
        <v>23</v>
      </c>
      <c r="C36" s="10" t="s">
        <v>96</v>
      </c>
      <c r="D36" s="1" t="s">
        <v>93</v>
      </c>
      <c r="E36" s="1" t="s">
        <v>94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65">
      <c r="A37" s="9" t="s">
        <v>34</v>
      </c>
      <c r="B37" s="9" t="s">
        <v>24</v>
      </c>
      <c r="C37" s="10"/>
      <c r="D37" s="1" t="s">
        <v>93</v>
      </c>
      <c r="E37" s="1" t="s">
        <v>94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65">
      <c r="A38" s="9" t="s">
        <v>34</v>
      </c>
      <c r="B38" s="9" t="s">
        <v>73</v>
      </c>
      <c r="C38" s="2" t="s">
        <v>95</v>
      </c>
      <c r="D38" s="1" t="s">
        <v>93</v>
      </c>
      <c r="E38" s="1" t="s">
        <v>94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65">
      <c r="A39" s="9" t="s">
        <v>34</v>
      </c>
      <c r="B39" s="9" t="s">
        <v>77</v>
      </c>
      <c r="C39" s="2" t="s">
        <v>95</v>
      </c>
      <c r="D39" s="1" t="s">
        <v>93</v>
      </c>
      <c r="E39" s="1" t="s">
        <v>94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65">
      <c r="A40" s="9" t="s">
        <v>34</v>
      </c>
      <c r="B40" s="9" t="s">
        <v>25</v>
      </c>
      <c r="C40" s="10"/>
      <c r="D40" s="9" t="s">
        <v>97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-1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65">
      <c r="A43" s="1" t="s">
        <v>11</v>
      </c>
    </row>
    <row r="44" spans="1:15" x14ac:dyDescent="0.65">
      <c r="A44" s="1" t="s">
        <v>11</v>
      </c>
    </row>
    <row r="45" spans="1:15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5" x14ac:dyDescent="0.6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65">
      <c r="A47" s="1" t="s">
        <v>57</v>
      </c>
    </row>
    <row r="48" spans="1:1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500000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v>1</v>
      </c>
      <c r="E52" s="1" t="s">
        <v>35</v>
      </c>
      <c r="F52" s="1">
        <v>0</v>
      </c>
      <c r="G52" s="1" t="s">
        <v>85</v>
      </c>
      <c r="H52" s="1">
        <v>0.1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v>1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1</v>
      </c>
      <c r="E72" s="1" t="s">
        <v>35</v>
      </c>
      <c r="F72" s="1">
        <v>1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N76"/>
  <sheetViews>
    <sheetView topLeftCell="A44" zoomScale="96" zoomScaleNormal="96" workbookViewId="0">
      <selection activeCell="D52" sqref="D52"/>
    </sheetView>
  </sheetViews>
  <sheetFormatPr baseColWidth="10" defaultRowHeight="14.25" x14ac:dyDescent="0.65"/>
  <cols>
    <col min="1" max="1" width="10.90625" style="1"/>
    <col min="2" max="2" width="23.7265625" style="1" customWidth="1"/>
    <col min="3" max="3" width="10.90625" style="2"/>
    <col min="4" max="5" width="10.90625" style="1"/>
    <col min="6" max="6" width="13.7265625" style="1" customWidth="1"/>
    <col min="7" max="15" width="10.90625" style="1"/>
  </cols>
  <sheetData>
    <row r="1" spans="1:40" x14ac:dyDescent="0.65">
      <c r="A1" s="1" t="s">
        <v>0</v>
      </c>
    </row>
    <row r="2" spans="1:40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40000</v>
      </c>
      <c r="H2" s="1" t="s">
        <v>70</v>
      </c>
      <c r="I2" s="1">
        <v>1</v>
      </c>
      <c r="J2" s="1" t="s">
        <v>78</v>
      </c>
      <c r="K2" s="1">
        <v>1</v>
      </c>
      <c r="L2" s="1" t="s">
        <v>71</v>
      </c>
      <c r="M2" s="1">
        <v>1</v>
      </c>
    </row>
    <row r="3" spans="1:40" x14ac:dyDescent="0.65">
      <c r="A3" s="1" t="s">
        <v>11</v>
      </c>
    </row>
    <row r="4" spans="1:40" x14ac:dyDescent="0.65">
      <c r="A4" s="1" t="s">
        <v>11</v>
      </c>
    </row>
    <row r="5" spans="1:40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40" x14ac:dyDescent="0.65">
      <c r="A6" s="1" t="s">
        <v>76</v>
      </c>
      <c r="B6" s="1" t="s">
        <v>75</v>
      </c>
      <c r="C6" s="2">
        <v>0</v>
      </c>
    </row>
    <row r="7" spans="1:40" x14ac:dyDescent="0.65">
      <c r="A7" s="1" t="s">
        <v>74</v>
      </c>
      <c r="B7" s="1" t="s">
        <v>73</v>
      </c>
      <c r="C7" s="2">
        <f>150000/I2/I2/10</f>
        <v>15000</v>
      </c>
      <c r="D7" s="1" t="s">
        <v>23</v>
      </c>
      <c r="E7" s="2">
        <v>0</v>
      </c>
      <c r="F7" s="1" t="s">
        <v>85</v>
      </c>
      <c r="G7" s="2">
        <f>150000/I2/I2/10</f>
        <v>15000</v>
      </c>
      <c r="H7" s="1" t="s">
        <v>86</v>
      </c>
      <c r="I7" s="2">
        <f>150000/I2/I2/10</f>
        <v>15000</v>
      </c>
    </row>
    <row r="8" spans="1:40" x14ac:dyDescent="0.65">
      <c r="A8" s="1" t="s">
        <v>11</v>
      </c>
    </row>
    <row r="9" spans="1:40" x14ac:dyDescent="0.65">
      <c r="A9" s="1" t="s">
        <v>11</v>
      </c>
    </row>
    <row r="10" spans="1:40" x14ac:dyDescent="0.65">
      <c r="A10" s="1" t="s">
        <v>11</v>
      </c>
    </row>
    <row r="11" spans="1:40" x14ac:dyDescent="0.65">
      <c r="A11" s="1" t="s">
        <v>11</v>
      </c>
    </row>
    <row r="12" spans="1:40" x14ac:dyDescent="0.65">
      <c r="A12" s="1" t="s">
        <v>11</v>
      </c>
    </row>
    <row r="13" spans="1:40" x14ac:dyDescent="0.65">
      <c r="A13" s="1" t="s">
        <v>11</v>
      </c>
    </row>
    <row r="14" spans="1:40" x14ac:dyDescent="0.65">
      <c r="A14" s="1" t="s">
        <v>11</v>
      </c>
    </row>
    <row r="15" spans="1:40" x14ac:dyDescent="0.65">
      <c r="A15" s="1" t="s">
        <v>12</v>
      </c>
    </row>
    <row r="16" spans="1:40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65">
      <c r="A17" s="1" t="s">
        <v>11</v>
      </c>
    </row>
    <row r="18" spans="1:40" x14ac:dyDescent="0.65">
      <c r="A18" s="1" t="s">
        <v>11</v>
      </c>
    </row>
    <row r="19" spans="1:40" x14ac:dyDescent="0.65">
      <c r="A19" s="1" t="s">
        <v>11</v>
      </c>
    </row>
    <row r="20" spans="1:40" x14ac:dyDescent="0.65">
      <c r="A20" s="1" t="s">
        <v>11</v>
      </c>
    </row>
    <row r="21" spans="1:40" x14ac:dyDescent="0.65">
      <c r="A21" s="1" t="s">
        <v>11</v>
      </c>
    </row>
    <row r="22" spans="1:40" x14ac:dyDescent="0.65">
      <c r="A22" s="1" t="s">
        <v>11</v>
      </c>
    </row>
    <row r="23" spans="1:40" x14ac:dyDescent="0.65">
      <c r="A23" s="1" t="s">
        <v>11</v>
      </c>
    </row>
    <row r="24" spans="1:40" x14ac:dyDescent="0.65">
      <c r="A24" s="1" t="s">
        <v>11</v>
      </c>
    </row>
    <row r="25" spans="1:40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40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40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65">
      <c r="A29" s="1" t="s">
        <v>11</v>
      </c>
    </row>
    <row r="30" spans="1:40" x14ac:dyDescent="0.65">
      <c r="A30" s="1" t="s">
        <v>34</v>
      </c>
      <c r="B30" s="1" t="s">
        <v>86</v>
      </c>
      <c r="D30" s="1" t="s">
        <v>93</v>
      </c>
      <c r="E30" s="1" t="s">
        <v>94</v>
      </c>
    </row>
    <row r="31" spans="1:40" x14ac:dyDescent="0.65">
      <c r="A31" s="1" t="s">
        <v>34</v>
      </c>
      <c r="B31" s="1" t="s">
        <v>85</v>
      </c>
      <c r="D31" s="1" t="s">
        <v>96</v>
      </c>
    </row>
    <row r="32" spans="1:40" x14ac:dyDescent="0.65">
      <c r="A32" s="9" t="s">
        <v>34</v>
      </c>
      <c r="B32" s="9" t="s">
        <v>30</v>
      </c>
      <c r="C32" s="10"/>
      <c r="D32" s="9" t="s">
        <v>97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65">
      <c r="A33" s="9" t="s">
        <v>34</v>
      </c>
      <c r="B33" s="9" t="s">
        <v>35</v>
      </c>
      <c r="C33" s="10"/>
      <c r="D33" s="9" t="s">
        <v>93</v>
      </c>
      <c r="E33" s="1" t="s">
        <v>94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65">
      <c r="A34" s="9" t="s">
        <v>34</v>
      </c>
      <c r="B34" s="9" t="s">
        <v>31</v>
      </c>
      <c r="C34" s="10" t="s">
        <v>98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65">
      <c r="A35" s="9" t="s">
        <v>34</v>
      </c>
      <c r="B35" s="9" t="s">
        <v>63</v>
      </c>
      <c r="C35" s="10" t="s">
        <v>98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65">
      <c r="A36" s="9" t="s">
        <v>34</v>
      </c>
      <c r="B36" s="9" t="s">
        <v>23</v>
      </c>
      <c r="C36" s="10" t="s">
        <v>96</v>
      </c>
      <c r="D36" s="1" t="s">
        <v>93</v>
      </c>
      <c r="E36" s="1" t="s">
        <v>94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65">
      <c r="A37" s="9" t="s">
        <v>34</v>
      </c>
      <c r="B37" s="9" t="s">
        <v>24</v>
      </c>
      <c r="C37" s="10"/>
      <c r="D37" s="1" t="s">
        <v>93</v>
      </c>
      <c r="E37" s="1" t="s">
        <v>94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65">
      <c r="A38" s="9" t="s">
        <v>34</v>
      </c>
      <c r="B38" s="9" t="s">
        <v>73</v>
      </c>
      <c r="C38" s="2" t="s">
        <v>95</v>
      </c>
      <c r="D38" s="1" t="s">
        <v>93</v>
      </c>
      <c r="E38" s="1" t="s">
        <v>94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65">
      <c r="A39" s="9" t="s">
        <v>34</v>
      </c>
      <c r="B39" s="9" t="s">
        <v>77</v>
      </c>
      <c r="C39" s="2" t="s">
        <v>95</v>
      </c>
      <c r="D39" s="1" t="s">
        <v>93</v>
      </c>
      <c r="E39" s="1" t="s">
        <v>94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65">
      <c r="A40" s="9" t="s">
        <v>34</v>
      </c>
      <c r="B40" s="9" t="s">
        <v>25</v>
      </c>
      <c r="C40" s="10"/>
      <c r="D40" s="9" t="s">
        <v>97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-1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</row>
    <row r="42" spans="1:40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</row>
    <row r="43" spans="1:40" x14ac:dyDescent="0.65">
      <c r="A43" s="1" t="s">
        <v>11</v>
      </c>
    </row>
    <row r="44" spans="1:40" x14ac:dyDescent="0.65">
      <c r="A44" s="1" t="s">
        <v>11</v>
      </c>
    </row>
    <row r="45" spans="1:40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40" x14ac:dyDescent="0.65">
      <c r="A46" s="1" t="s">
        <v>59</v>
      </c>
      <c r="B46" s="1" t="s">
        <v>60</v>
      </c>
      <c r="C46" s="2" t="s">
        <v>86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40" x14ac:dyDescent="0.65">
      <c r="A47" s="1" t="s">
        <v>57</v>
      </c>
    </row>
    <row r="48" spans="1:40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500000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</v>
      </c>
    </row>
    <row r="52" spans="1:10" x14ac:dyDescent="0.65">
      <c r="A52" s="1" t="s">
        <v>43</v>
      </c>
      <c r="B52" s="1" t="s">
        <v>56</v>
      </c>
      <c r="C52" s="2" t="s">
        <v>86</v>
      </c>
      <c r="D52" s="1">
        <v>1</v>
      </c>
      <c r="E52" s="1" t="s">
        <v>35</v>
      </c>
      <c r="F52" s="1">
        <v>0</v>
      </c>
      <c r="G52" s="1" t="s">
        <v>85</v>
      </c>
      <c r="H52" s="1">
        <v>0.1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  <c r="E63" s="1" t="s">
        <v>87</v>
      </c>
      <c r="F63" s="1">
        <v>1</v>
      </c>
    </row>
    <row r="64" spans="1:10" x14ac:dyDescent="0.65">
      <c r="A64" s="1" t="s">
        <v>49</v>
      </c>
      <c r="B64" s="1" t="s">
        <v>56</v>
      </c>
      <c r="C64" s="2" t="s">
        <v>85</v>
      </c>
      <c r="D64" s="1">
        <v>1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86</v>
      </c>
      <c r="D72" s="1">
        <f>D70</f>
        <v>1</v>
      </c>
      <c r="E72" s="1" t="s">
        <v>35</v>
      </c>
      <c r="F72" s="1">
        <v>1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2"/>
  <sheetViews>
    <sheetView zoomScale="83" zoomScaleNormal="83" workbookViewId="0">
      <selection activeCell="A12" sqref="A12"/>
    </sheetView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7" x14ac:dyDescent="0.65">
      <c r="A1" t="s">
        <v>69</v>
      </c>
      <c r="I1" t="s">
        <v>67</v>
      </c>
      <c r="J1" t="s">
        <v>68</v>
      </c>
      <c r="K1" t="s">
        <v>75</v>
      </c>
      <c r="M1" t="s">
        <v>88</v>
      </c>
      <c r="N1" t="s">
        <v>89</v>
      </c>
      <c r="O1" t="s">
        <v>90</v>
      </c>
      <c r="P1" t="s">
        <v>91</v>
      </c>
      <c r="Q1" t="s">
        <v>92</v>
      </c>
    </row>
    <row r="2" spans="1:17" x14ac:dyDescent="0.65">
      <c r="A2" s="4" t="s">
        <v>6</v>
      </c>
      <c r="B2" s="5" t="s">
        <v>7</v>
      </c>
      <c r="C2" s="6" t="s">
        <v>9</v>
      </c>
      <c r="E2" s="4" t="s">
        <v>27</v>
      </c>
      <c r="F2" s="5" t="s">
        <v>24</v>
      </c>
      <c r="G2" s="6" t="s">
        <v>86</v>
      </c>
      <c r="I2" s="8">
        <v>0</v>
      </c>
      <c r="J2" s="8">
        <v>1</v>
      </c>
      <c r="K2" s="8">
        <v>0</v>
      </c>
      <c r="M2">
        <v>1</v>
      </c>
      <c r="N2">
        <v>1</v>
      </c>
      <c r="O2">
        <v>1</v>
      </c>
      <c r="P2">
        <v>1</v>
      </c>
      <c r="Q2">
        <v>1</v>
      </c>
    </row>
    <row r="3" spans="1:17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1</v>
      </c>
      <c r="J4" s="7">
        <v>1</v>
      </c>
      <c r="K4" s="7">
        <v>1</v>
      </c>
      <c r="M4">
        <v>1</v>
      </c>
      <c r="N4">
        <v>1</v>
      </c>
      <c r="O4">
        <v>1</v>
      </c>
      <c r="P4">
        <v>1</v>
      </c>
      <c r="Q4">
        <v>1</v>
      </c>
    </row>
    <row r="5" spans="1:17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  <c r="M5">
        <v>0.1</v>
      </c>
      <c r="N5">
        <v>0.1</v>
      </c>
      <c r="O5">
        <v>0.1</v>
      </c>
      <c r="P5">
        <v>0.1</v>
      </c>
      <c r="Q5">
        <v>0.1</v>
      </c>
    </row>
    <row r="6" spans="1:17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7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7" x14ac:dyDescent="0.65">
      <c r="E8" s="1" t="s">
        <v>86</v>
      </c>
      <c r="F8" s="1" t="s">
        <v>86</v>
      </c>
      <c r="G8" s="1" t="s">
        <v>86</v>
      </c>
    </row>
    <row r="9" spans="1:17" x14ac:dyDescent="0.65">
      <c r="E9" s="1" t="s">
        <v>30</v>
      </c>
      <c r="F9" s="1" t="s">
        <v>30</v>
      </c>
      <c r="G9" s="1" t="s">
        <v>30</v>
      </c>
    </row>
    <row r="10" spans="1:17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7" x14ac:dyDescent="0.65">
      <c r="E11" s="1" t="s">
        <v>73</v>
      </c>
      <c r="F11" s="1" t="s">
        <v>73</v>
      </c>
      <c r="G11" s="1" t="s">
        <v>73</v>
      </c>
      <c r="L11" s="1"/>
    </row>
    <row r="12" spans="1:17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2018-01-07T23:22:26Z</dcterms:modified>
</cp:coreProperties>
</file>
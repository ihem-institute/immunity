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rga\workspace\immunity\"/>
    </mc:Choice>
  </mc:AlternateContent>
  <bookViews>
    <workbookView xWindow="0" yWindow="0" windowWidth="9075" windowHeight="5175" activeTab="2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K2" i="1" l="1"/>
  <c r="I2" i="1"/>
  <c r="F65" i="1" l="1"/>
  <c r="F57" i="1"/>
  <c r="F53" i="1"/>
  <c r="D65" i="1"/>
  <c r="D53" i="1"/>
  <c r="F61" i="1"/>
  <c r="D57" i="1"/>
  <c r="D72" i="4" l="1"/>
  <c r="D70" i="4"/>
  <c r="F69" i="4"/>
  <c r="D69" i="4"/>
  <c r="F61" i="4"/>
  <c r="D63" i="4" s="1"/>
  <c r="D61" i="4"/>
  <c r="D62" i="4" s="1"/>
  <c r="F49" i="4"/>
  <c r="D49" i="4"/>
  <c r="D52" i="4" s="1"/>
  <c r="D57" i="4" l="1"/>
  <c r="D50" i="4"/>
  <c r="D53" i="4"/>
  <c r="F69" i="1"/>
  <c r="D69" i="1"/>
  <c r="D72" i="1" s="1"/>
  <c r="D65" i="4" l="1"/>
  <c r="D66" i="4" s="1"/>
  <c r="D68" i="4" s="1"/>
  <c r="D54" i="4"/>
  <c r="D56" i="4"/>
  <c r="F53" i="4"/>
  <c r="D58" i="4"/>
  <c r="F60" i="4"/>
  <c r="F57" i="4"/>
  <c r="H57" i="4" s="1"/>
  <c r="D60" i="4"/>
  <c r="D70" i="1"/>
  <c r="H53" i="4" l="1"/>
  <c r="F65" i="4"/>
  <c r="H65" i="4" s="1"/>
  <c r="F60" i="2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D63" i="1"/>
  <c r="D61" i="1"/>
  <c r="D62" i="1" s="1"/>
  <c r="F49" i="1"/>
  <c r="D49" i="1"/>
  <c r="D57" i="2" l="1"/>
  <c r="F59" i="2"/>
  <c r="F56" i="2"/>
  <c r="H56" i="2" s="1"/>
  <c r="D59" i="2"/>
  <c r="H52" i="2"/>
  <c r="F64" i="2"/>
  <c r="H64" i="2" s="1"/>
  <c r="D54" i="1"/>
  <c r="D56" i="1"/>
  <c r="D66" i="1"/>
  <c r="D68" i="1" s="1"/>
  <c r="D52" i="1"/>
  <c r="D50" i="1"/>
  <c r="F60" i="1" l="1"/>
  <c r="D60" i="1"/>
  <c r="D58" i="1"/>
</calcChain>
</file>

<file path=xl/sharedStrings.xml><?xml version="1.0" encoding="utf-8"?>
<sst xmlns="http://schemas.openxmlformats.org/spreadsheetml/2006/main" count="762" uniqueCount="79">
  <si>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</si>
  <si>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</si>
  <si>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</si>
  <si>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</si>
  <si>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</si>
  <si>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</si>
  <si>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</si>
  <si>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</si>
  <si>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</si>
  <si>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</si>
  <si>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</si>
  <si>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</si>
  <si>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</si>
  <si>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</si>
  <si>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</si>
  <si>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</si>
  <si>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</si>
  <si>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</si>
  <si>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</si>
  <si>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</si>
  <si>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</si>
  <si>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</si>
  <si>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</si>
  <si>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</si>
  <si>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</si>
  <si>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</si>
  <si>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</si>
  <si>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</si>
  <si>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</si>
  <si>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</si>
  <si>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</si>
  <si>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</si>
  <si>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</si>
  <si>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</si>
  <si>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</si>
  <si>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</si>
  <si>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</si>
  <si>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</si>
  <si>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</si>
  <si>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</si>
  <si>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</si>
  <si>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</si>
  <si>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</si>
  <si>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</si>
  <si>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</si>
  <si>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</si>
  <si>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</si>
  <si>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</si>
  <si>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</si>
  <si>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</si>
  <si>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</si>
  <si>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</si>
  <si>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</si>
  <si>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</si>
  <si>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</si>
  <si>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</si>
  <si>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</si>
  <si>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</si>
  <si>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</si>
  <si>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</si>
  <si>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</si>
  <si>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</si>
  <si>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</si>
  <si>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</si>
  <si>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</si>
  <si>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</si>
  <si>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</si>
  <si>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</si>
  <si>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</si>
  <si>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</si>
  <si>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</si>
  <si>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</si>
  <si>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</si>
  <si>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</si>
  <si>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</si>
  <si>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</si>
  <si>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</si>
  <si>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</si>
  <si>
    <t>timeScale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</si>
</sst>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6"/>
  <sheetViews>
    <sheetView zoomScale="86" zoomScaleNormal="86" workbookViewId="0">
      <selection sqref="A1:Z75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5" width="11.42578125" style="1"/>
    <col min="6" max="6" width="13.7109375" style="1" customWidth="1"/>
    <col min="7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v>90000</v>
      </c>
      <c r="H2" s="1" t="s">
        <v>70</v>
      </c>
      <c r="I2" s="1">
        <f>1/3</f>
        <v>0.33333333333333331</v>
      </c>
      <c r="J2" s="1" t="s">
        <v>78</v>
      </c>
      <c r="K2" s="1">
        <f>1/3</f>
        <v>0.33333333333333331</v>
      </c>
      <c r="L2" s="1" t="s">
        <v>71</v>
      </c>
      <c r="M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25">
      <c r="A6" s="1" t="s">
        <v>76</v>
      </c>
      <c r="B6" s="1" t="s">
        <v>75</v>
      </c>
      <c r="C6" s="2">
        <v>0</v>
      </c>
    </row>
    <row r="7" spans="1:19" x14ac:dyDescent="0.25">
      <c r="A7" s="1" t="s">
        <v>74</v>
      </c>
      <c r="B7" s="1" t="s">
        <v>73</v>
      </c>
      <c r="C7" s="2">
        <v>405000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77</v>
      </c>
      <c r="C39" s="2" t="s">
        <v>6</v>
      </c>
      <c r="D39" s="1" t="s">
        <v>7</v>
      </c>
      <c r="E39" s="1" t="s">
        <v>8</v>
      </c>
    </row>
    <row r="40" spans="1:11" x14ac:dyDescent="0.25">
      <c r="A40" s="1" t="s">
        <v>34</v>
      </c>
      <c r="B40" s="1" t="s">
        <v>25</v>
      </c>
      <c r="C40" s="2" t="s">
        <v>8</v>
      </c>
      <c r="D40" s="1" t="s">
        <v>10</v>
      </c>
    </row>
    <row r="41" spans="1:11" x14ac:dyDescent="0.25">
      <c r="A41" s="1" t="s">
        <v>36</v>
      </c>
      <c r="B41" s="1" t="s">
        <v>6</v>
      </c>
      <c r="C41" s="2">
        <v>0</v>
      </c>
      <c r="D41" s="1" t="s">
        <v>7</v>
      </c>
      <c r="E41" s="2">
        <v>0</v>
      </c>
      <c r="F41" s="1" t="s">
        <v>8</v>
      </c>
      <c r="G41" s="2">
        <v>-1</v>
      </c>
      <c r="H41" s="1" t="s">
        <v>9</v>
      </c>
      <c r="I41" s="2">
        <v>-1</v>
      </c>
      <c r="J41" s="1" t="s">
        <v>10</v>
      </c>
      <c r="K41" s="2">
        <v>-1</v>
      </c>
    </row>
    <row r="42" spans="1:11" x14ac:dyDescent="0.25">
      <c r="A42" s="1" t="s">
        <v>72</v>
      </c>
      <c r="B42" s="1" t="s">
        <v>6</v>
      </c>
      <c r="C42" s="2">
        <v>0.1</v>
      </c>
      <c r="D42" s="1" t="s">
        <v>7</v>
      </c>
      <c r="E42" s="1">
        <v>0</v>
      </c>
      <c r="F42" s="1" t="s">
        <v>8</v>
      </c>
      <c r="G42" s="1">
        <v>0.1</v>
      </c>
      <c r="H42" s="1" t="s">
        <v>9</v>
      </c>
      <c r="I42" s="1">
        <v>0</v>
      </c>
      <c r="J42" s="1" t="s">
        <v>10</v>
      </c>
      <c r="K42" s="1">
        <v>0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8</v>
      </c>
      <c r="F45" s="1" t="s">
        <v>62</v>
      </c>
      <c r="G45" s="1" t="s">
        <v>9</v>
      </c>
    </row>
    <row r="46" spans="1:11" x14ac:dyDescent="0.2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35</v>
      </c>
      <c r="F46" s="1" t="s">
        <v>62</v>
      </c>
      <c r="G46" s="1" t="s">
        <v>27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1000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452.38934211693021</v>
      </c>
      <c r="E52" s="1" t="s">
        <v>35</v>
      </c>
      <c r="F52" s="1">
        <v>0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804.24771931898704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804.24771931898704</v>
      </c>
      <c r="E60" s="1" t="s">
        <v>25</v>
      </c>
      <c r="F60" s="1">
        <f>D57/1000</f>
        <v>80.424771931898704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723822.94738708832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80424.771931898707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25">
      <c r="A71" s="1" t="s">
        <v>64</v>
      </c>
      <c r="B71" s="1" t="s">
        <v>55</v>
      </c>
      <c r="C71" s="2" t="s">
        <v>27</v>
      </c>
      <c r="D71" s="1">
        <v>1000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23</v>
      </c>
      <c r="D72" s="1">
        <f>D69/100</f>
        <v>452.38934211693021</v>
      </c>
      <c r="E72" s="1" t="s">
        <v>35</v>
      </c>
      <c r="F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6"/>
  <sheetViews>
    <sheetView workbookViewId="0">
      <selection sqref="A1:Z75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25">
      <c r="A6" s="1" t="s">
        <v>76</v>
      </c>
      <c r="B6" s="1" t="s">
        <v>75</v>
      </c>
      <c r="C6" s="2">
        <v>0</v>
      </c>
    </row>
    <row r="7" spans="1:19" x14ac:dyDescent="0.25">
      <c r="A7" s="1" t="s">
        <v>74</v>
      </c>
      <c r="B7" s="1" t="s">
        <v>73</v>
      </c>
      <c r="C7" s="2">
        <v>45000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77</v>
      </c>
      <c r="C39" s="2" t="s">
        <v>6</v>
      </c>
      <c r="D39" s="1" t="s">
        <v>7</v>
      </c>
      <c r="E39" s="1" t="s">
        <v>8</v>
      </c>
    </row>
    <row r="40" spans="1:11" x14ac:dyDescent="0.25">
      <c r="A40" s="1" t="s">
        <v>34</v>
      </c>
      <c r="B40" s="1" t="s">
        <v>25</v>
      </c>
      <c r="C40" s="2" t="s">
        <v>8</v>
      </c>
      <c r="D40" s="1" t="s">
        <v>10</v>
      </c>
    </row>
    <row r="41" spans="1:11" x14ac:dyDescent="0.25">
      <c r="A41" s="1" t="s">
        <v>36</v>
      </c>
      <c r="B41" s="1" t="s">
        <v>6</v>
      </c>
      <c r="C41" s="2">
        <v>0</v>
      </c>
      <c r="D41" s="1" t="s">
        <v>7</v>
      </c>
      <c r="E41" s="2">
        <v>0</v>
      </c>
      <c r="F41" s="1" t="s">
        <v>8</v>
      </c>
      <c r="G41" s="2">
        <v>-1</v>
      </c>
      <c r="H41" s="1" t="s">
        <v>9</v>
      </c>
      <c r="I41" s="2">
        <v>-1</v>
      </c>
      <c r="J41" s="1" t="s">
        <v>10</v>
      </c>
      <c r="K41" s="2">
        <v>-1</v>
      </c>
    </row>
    <row r="42" spans="1:11" x14ac:dyDescent="0.25">
      <c r="A42" s="1" t="s">
        <v>72</v>
      </c>
      <c r="B42" s="1" t="s">
        <v>6</v>
      </c>
      <c r="C42" s="2">
        <v>0.1</v>
      </c>
      <c r="D42" s="1" t="s">
        <v>7</v>
      </c>
      <c r="E42" s="1">
        <v>0</v>
      </c>
      <c r="F42" s="1" t="s">
        <v>8</v>
      </c>
      <c r="G42" s="1">
        <v>0.1</v>
      </c>
      <c r="H42" s="1" t="s">
        <v>9</v>
      </c>
      <c r="I42" s="1">
        <v>0</v>
      </c>
      <c r="J42" s="1" t="s">
        <v>10</v>
      </c>
      <c r="K42" s="1">
        <v>0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8</v>
      </c>
      <c r="F45" s="1" t="s">
        <v>62</v>
      </c>
      <c r="G45" s="1" t="s">
        <v>9</v>
      </c>
    </row>
    <row r="46" spans="1:11" x14ac:dyDescent="0.2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35</v>
      </c>
      <c r="F46" s="1" t="s">
        <v>62</v>
      </c>
      <c r="G46" s="1" t="s">
        <v>27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5026.5482457436692</v>
      </c>
      <c r="E49" s="1" t="s">
        <v>45</v>
      </c>
      <c r="F49" s="1">
        <f>4/3*PI()*H49^3</f>
        <v>33510.321638291127</v>
      </c>
      <c r="G49" s="1" t="s">
        <v>46</v>
      </c>
      <c r="H49" s="1">
        <v>20</v>
      </c>
      <c r="I49" s="1" t="s">
        <v>52</v>
      </c>
      <c r="J49" s="1">
        <v>9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5026.5482457436692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1000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50.26548245743669</v>
      </c>
      <c r="E52" s="1" t="s">
        <v>35</v>
      </c>
      <c r="F52" s="1">
        <v>0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D49</f>
        <v>5026.5482457436692</v>
      </c>
      <c r="E53" s="1" t="s">
        <v>45</v>
      </c>
      <c r="F53" s="1">
        <f>D53*5</f>
        <v>25132.741228718347</v>
      </c>
      <c r="G53" s="1" t="s">
        <v>46</v>
      </c>
      <c r="H53" s="1">
        <f>(F53*3/4/PI())^(1/3)</f>
        <v>18.171205928321388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5026.5482457436692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50.26548245743669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D49*2</f>
        <v>10053.096491487338</v>
      </c>
      <c r="E57" s="1" t="s">
        <v>45</v>
      </c>
      <c r="F57" s="1">
        <f>D57*5</f>
        <v>50265.482457436694</v>
      </c>
      <c r="G57" s="1" t="s">
        <v>46</v>
      </c>
      <c r="H57" s="1">
        <f>(F57*3/4/PI())^(1/3)</f>
        <v>22.894284851066633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10053.096491487338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100.53096491487338</v>
      </c>
      <c r="E60" s="1" t="s">
        <v>25</v>
      </c>
      <c r="F60" s="1">
        <f>D57/1000</f>
        <v>10.053096491487338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20106.192982974677</v>
      </c>
      <c r="E61" s="1" t="s">
        <v>45</v>
      </c>
      <c r="F61" s="1">
        <f>4/3*PI()*H61^3</f>
        <v>268082.57310632901</v>
      </c>
      <c r="G61" s="1" t="s">
        <v>46</v>
      </c>
      <c r="H61" s="1">
        <v>40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20106.192982974677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26808.2573106329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D53</f>
        <v>5026.5482457436692</v>
      </c>
      <c r="E65" s="1" t="s">
        <v>45</v>
      </c>
      <c r="F65" s="1">
        <f>F53</f>
        <v>25132.741228718347</v>
      </c>
      <c r="G65" s="1" t="s">
        <v>46</v>
      </c>
      <c r="H65" s="1">
        <f>(F65*3/4/PI())^(1/3)</f>
        <v>18.171205928321388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5026.5482457436692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5026.5482457436692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f>4*PI()*H69^2</f>
        <v>5026.5482457436692</v>
      </c>
      <c r="E69" s="1" t="s">
        <v>45</v>
      </c>
      <c r="F69" s="1">
        <f>4/3*PI()*H69^3</f>
        <v>33510.321638291127</v>
      </c>
      <c r="G69" s="1" t="s">
        <v>46</v>
      </c>
      <c r="H69" s="1">
        <v>20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6</v>
      </c>
      <c r="D70" s="1">
        <f>D69</f>
        <v>5026.5482457436692</v>
      </c>
    </row>
    <row r="71" spans="1:10" x14ac:dyDescent="0.25">
      <c r="A71" s="1" t="s">
        <v>64</v>
      </c>
      <c r="B71" s="1" t="s">
        <v>55</v>
      </c>
      <c r="C71" s="2" t="s">
        <v>27</v>
      </c>
      <c r="D71" s="1">
        <v>1000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23</v>
      </c>
      <c r="D72" s="1">
        <f>D69/100</f>
        <v>50.26548245743669</v>
      </c>
      <c r="E72" s="1" t="s">
        <v>35</v>
      </c>
      <c r="F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tabSelected="1" zoomScale="69" zoomScaleNormal="69" workbookViewId="0">
      <selection activeCell="A12" sqref="A12"/>
    </sheetView>
  </sheetViews>
  <sheetFormatPr baseColWidth="10" defaultRowHeight="15" x14ac:dyDescent="0.25"/>
  <cols>
    <col min="4" max="4" width="4.28515625" customWidth="1"/>
    <col min="8" max="8" width="4.5703125" customWidth="1"/>
  </cols>
  <sheetData>
    <row r="1" spans="1:12" x14ac:dyDescent="0.25">
      <c r="A1" t="s">
        <v>69</v>
      </c>
      <c r="I1" t="s">
        <v>67</v>
      </c>
      <c r="J1" t="s">
        <v>68</v>
      </c>
      <c r="K1" t="s">
        <v>75</v>
      </c>
    </row>
    <row r="2" spans="1:12" x14ac:dyDescent="0.25">
      <c r="A2" s="4" t="s">
        <v>6</v>
      </c>
      <c r="B2" s="5" t="s">
        <v>7</v>
      </c>
      <c r="C2" s="6" t="s">
        <v>9</v>
      </c>
      <c r="E2" s="4" t="s">
        <v>73</v>
      </c>
      <c r="F2" s="5" t="s">
        <v>27</v>
      </c>
      <c r="G2" s="6" t="s">
        <v>35</v>
      </c>
      <c r="I2" s="8">
        <v>0</v>
      </c>
      <c r="J2" s="8">
        <v>0</v>
      </c>
      <c r="K2" s="8">
        <v>0</v>
      </c>
    </row>
    <row r="3" spans="1:12" ht="15.75" x14ac:dyDescent="0.2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2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>
        <v>10</v>
      </c>
    </row>
    <row r="5" spans="1:12" x14ac:dyDescent="0.2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2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2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25">
      <c r="E8" s="1" t="s">
        <v>29</v>
      </c>
      <c r="F8" s="1" t="s">
        <v>29</v>
      </c>
      <c r="G8" s="1" t="s">
        <v>29</v>
      </c>
    </row>
    <row r="9" spans="1:12" x14ac:dyDescent="0.25">
      <c r="E9" s="1" t="s">
        <v>30</v>
      </c>
      <c r="F9" s="1" t="s">
        <v>30</v>
      </c>
      <c r="G9" s="1" t="s">
        <v>30</v>
      </c>
    </row>
    <row r="10" spans="1:12" x14ac:dyDescent="0.2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25">
      <c r="E11" s="1" t="s">
        <v>73</v>
      </c>
      <c r="F11" s="1" t="s">
        <v>73</v>
      </c>
      <c r="G11" s="1" t="s">
        <v>73</v>
      </c>
      <c r="L11" s="1"/>
    </row>
    <row r="12" spans="1:12" x14ac:dyDescent="0.2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5" x14ac:dyDescent="0.25"/>
  <cols>
    <col min="1" max="1" width="22.42578125" style="1" customWidth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lmayorga</cp:lastModifiedBy>
  <dcterms:created xsi:type="dcterms:W3CDTF">2017-02-03T17:11:05Z</dcterms:created>
  <dcterms:modified xsi:type="dcterms:W3CDTF">2017-08-17T21:03:51Z</dcterms:modified>
</cp:coreProperties>
</file>
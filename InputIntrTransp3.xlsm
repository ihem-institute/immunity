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4585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D69" i="1" l="1"/>
  <c r="D70" i="4" l="1"/>
  <c r="D72" i="4" s="1"/>
  <c r="F69" i="4"/>
  <c r="D69" i="4"/>
  <c r="F65" i="4"/>
  <c r="D65" i="4"/>
  <c r="D66" i="4" s="1"/>
  <c r="F61" i="4"/>
  <c r="D61" i="4"/>
  <c r="D64" i="4" s="1"/>
  <c r="F57" i="4"/>
  <c r="D57" i="4"/>
  <c r="D58" i="4" s="1"/>
  <c r="D54" i="4"/>
  <c r="F53" i="4"/>
  <c r="D53" i="4"/>
  <c r="F49" i="4"/>
  <c r="D51" i="4" s="1"/>
  <c r="D49" i="4"/>
  <c r="D50" i="4" s="1"/>
  <c r="I7" i="4"/>
  <c r="G7" i="4"/>
  <c r="C7" i="4"/>
  <c r="G2" i="4"/>
  <c r="D52" i="4" l="1"/>
  <c r="H52" i="4"/>
  <c r="D62" i="4"/>
  <c r="D72" i="1"/>
  <c r="C7" i="1" l="1"/>
  <c r="I7" i="1"/>
  <c r="G7" i="1" l="1"/>
  <c r="G2" i="1" l="1"/>
  <c r="F60" i="2" l="1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57" i="2" l="1"/>
  <c r="F59" i="2"/>
  <c r="F56" i="2"/>
  <c r="H56" i="2" s="1"/>
  <c r="D59" i="2"/>
  <c r="H52" i="2"/>
  <c r="F64" i="2"/>
  <c r="H64" i="2" s="1"/>
</calcChain>
</file>

<file path=xl/sharedStrings.xml><?xml version="1.0" encoding="utf-8"?>
<sst xmlns="http://schemas.openxmlformats.org/spreadsheetml/2006/main" count="801" uniqueCount="88">
  <si>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</si>
  <si>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</si>
  <si>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</si>
  <si>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</si>
  <si>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</si>
  <si>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</si>
  <si>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</si>
  <si>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</si>
  <si>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</si>
  <si>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</si>
  <si>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</si>
  <si>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</si>
  <si>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</si>
  <si>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</si>
  <si>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</si>
  <si>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</si>
  <si>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</si>
  <si>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</si>
  <si>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</si>
  <si>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</si>
  <si>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</si>
  <si>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</si>
  <si>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</si>
  <si>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</si>
  <si>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</si>
  <si>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</si>
  <si>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</si>
  <si>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</si>
  <si>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</si>
  <si>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</si>
  <si>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</si>
  <si>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</si>
  <si>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</si>
  <si>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</si>
  <si>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</si>
  <si>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</si>
  <si>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</si>
  <si>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</si>
  <si>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</si>
  <si>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</si>
  <si>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</si>
  <si>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</si>
  <si>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</si>
  <si>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</si>
  <si>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</si>
  <si>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</si>
  <si>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</si>
  <si>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</si>
  <si>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</si>
  <si>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</si>
  <si>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</si>
  <si>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</si>
  <si>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</si>
  <si>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</si>
  <si>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</si>
  <si>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</si>
  <si>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</si>
  <si>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</si>
  <si>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</si>
  <si>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</si>
  <si>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</si>
  <si>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</si>
  <si>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</si>
  <si>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</si>
  <si>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</si>
  <si>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</si>
  <si>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</si>
  <si>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</si>
  <si>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</si>
  <si>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</si>
  <si>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</si>
  <si>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</si>
  <si>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</si>
  <si>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</si>
  <si>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</si>
  <si>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</si>
  <si>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</si>
  <si>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</si>
  <si>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</si>
  <si>
    <t>RabARabE</t>
  </si>
  <si>
    <t>RabARabC</t>
  </si>
  <si>
    <t>RabBRabD</t>
  </si>
  <si>
    <t>RabBRabE</t>
  </si>
  <si>
    <t>RabCRabD</t>
  </si>
  <si>
    <t>RabDRabE</t>
  </si>
  <si>
    <t>vATPase</t>
  </si>
  <si>
    <t>cMHCI</t>
  </si>
  <si>
    <t>proton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</si>
</sst>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  <xf numFmtId="2" fontId="0" fillId="36" borderId="0" xfId="0" applyNumberFormat="1" applyFill="1"/>
    <xf numFmtId="0" fontId="0" fillId="36" borderId="0" xfId="0" applyNumberFormat="1" applyFill="1"/>
    <xf numFmtId="2" fontId="0" fillId="37" borderId="0" xfId="0" applyNumberFormat="1" applyFill="1"/>
    <xf numFmtId="0" fontId="0" fillId="37" borderId="0" xfId="0" applyNumberFormat="1" applyFill="1"/>
    <xf numFmtId="0" fontId="0" fillId="37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E76"/>
  <sheetViews>
    <sheetView tabSelected="1" zoomScale="95" zoomScaleNormal="95" workbookViewId="0">
      <selection activeCell="J2" sqref="J2"/>
    </sheetView>
  </sheetViews>
  <sheetFormatPr baseColWidth="10" defaultRowHeight="14.25" x14ac:dyDescent="0.65"/>
  <cols>
    <col min="1" max="1" width="11.40625" style="1"/>
    <col min="2" max="2" width="23.7265625" style="1" customWidth="1"/>
    <col min="3" max="3" width="11.40625" style="2"/>
    <col min="4" max="5" width="11.40625" style="1"/>
    <col min="6" max="6" width="13.7265625" style="1" customWidth="1"/>
    <col min="7" max="15" width="11.40625" style="1"/>
  </cols>
  <sheetData>
    <row r="1" spans="1:31" x14ac:dyDescent="0.65">
      <c r="A1" s="1" t="s">
        <v>0</v>
      </c>
    </row>
    <row r="2" spans="1:31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31" x14ac:dyDescent="0.65">
      <c r="A3" s="1" t="s">
        <v>11</v>
      </c>
    </row>
    <row r="4" spans="1:31" x14ac:dyDescent="0.65">
      <c r="A4" s="1" t="s">
        <v>11</v>
      </c>
    </row>
    <row r="5" spans="1:31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1" x14ac:dyDescent="0.65">
      <c r="A6" s="1" t="s">
        <v>76</v>
      </c>
      <c r="B6" s="1" t="s">
        <v>75</v>
      </c>
      <c r="C6" s="2">
        <v>0</v>
      </c>
    </row>
    <row r="7" spans="1:31" x14ac:dyDescent="0.65">
      <c r="A7" s="1" t="s">
        <v>74</v>
      </c>
      <c r="B7" s="1" t="s">
        <v>73</v>
      </c>
      <c r="C7" s="2">
        <f>150000/I2/I2/10</f>
        <v>60000</v>
      </c>
      <c r="D7" s="1" t="s">
        <v>23</v>
      </c>
      <c r="E7" s="2">
        <v>0</v>
      </c>
      <c r="F7" s="1" t="s">
        <v>85</v>
      </c>
      <c r="G7" s="2">
        <f>150000/I2/I2/10</f>
        <v>60000</v>
      </c>
      <c r="H7" s="1" t="s">
        <v>86</v>
      </c>
      <c r="I7" s="2">
        <f>150000/I2/I2/10</f>
        <v>60000</v>
      </c>
    </row>
    <row r="8" spans="1:31" x14ac:dyDescent="0.65">
      <c r="A8" s="1" t="s">
        <v>11</v>
      </c>
    </row>
    <row r="9" spans="1:31" x14ac:dyDescent="0.65">
      <c r="A9" s="1" t="s">
        <v>11</v>
      </c>
    </row>
    <row r="10" spans="1:31" x14ac:dyDescent="0.65">
      <c r="A10" s="1" t="s">
        <v>11</v>
      </c>
    </row>
    <row r="11" spans="1:31" x14ac:dyDescent="0.65">
      <c r="A11" s="1" t="s">
        <v>11</v>
      </c>
    </row>
    <row r="12" spans="1:31" x14ac:dyDescent="0.65">
      <c r="A12" s="1" t="s">
        <v>11</v>
      </c>
    </row>
    <row r="13" spans="1:31" x14ac:dyDescent="0.65">
      <c r="A13" s="1" t="s">
        <v>11</v>
      </c>
    </row>
    <row r="14" spans="1:31" x14ac:dyDescent="0.65">
      <c r="A14" s="1" t="s">
        <v>11</v>
      </c>
    </row>
    <row r="15" spans="1:31" x14ac:dyDescent="0.65">
      <c r="A15" s="1" t="s">
        <v>12</v>
      </c>
    </row>
    <row r="16" spans="1:31" s="8" customFormat="1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0.3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0.3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0.01</v>
      </c>
      <c r="AB16" s="8" t="s">
        <v>21</v>
      </c>
      <c r="AC16" s="8">
        <v>0.01</v>
      </c>
      <c r="AD16" s="8" t="s">
        <v>84</v>
      </c>
      <c r="AE16" s="8">
        <v>1E-3</v>
      </c>
    </row>
    <row r="17" spans="1:15" x14ac:dyDescent="0.65">
      <c r="A17" s="1" t="s">
        <v>11</v>
      </c>
    </row>
    <row r="18" spans="1:15" x14ac:dyDescent="0.65">
      <c r="A18" s="1" t="s">
        <v>11</v>
      </c>
    </row>
    <row r="19" spans="1:15" x14ac:dyDescent="0.65">
      <c r="A19" s="1" t="s">
        <v>11</v>
      </c>
    </row>
    <row r="20" spans="1:15" x14ac:dyDescent="0.65">
      <c r="A20" s="1" t="s">
        <v>11</v>
      </c>
    </row>
    <row r="21" spans="1:15" x14ac:dyDescent="0.65">
      <c r="A21" s="1" t="s">
        <v>11</v>
      </c>
    </row>
    <row r="22" spans="1:15" x14ac:dyDescent="0.65">
      <c r="A22" s="1" t="s">
        <v>11</v>
      </c>
    </row>
    <row r="23" spans="1:15" x14ac:dyDescent="0.65">
      <c r="A23" s="1" t="s">
        <v>11</v>
      </c>
    </row>
    <row r="24" spans="1:15" x14ac:dyDescent="0.65">
      <c r="A24" s="1" t="s">
        <v>11</v>
      </c>
    </row>
    <row r="25" spans="1:15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  <c r="I25" s="1" t="s">
        <v>86</v>
      </c>
      <c r="J25" s="1" t="s">
        <v>85</v>
      </c>
    </row>
    <row r="26" spans="1:15" s="13" customFormat="1" x14ac:dyDescent="0.65">
      <c r="A26" s="11" t="s">
        <v>26</v>
      </c>
      <c r="B26" s="11" t="s">
        <v>27</v>
      </c>
      <c r="C26" s="12" t="s">
        <v>28</v>
      </c>
      <c r="D26" s="11" t="s">
        <v>29</v>
      </c>
      <c r="E26" s="11" t="s">
        <v>31</v>
      </c>
      <c r="F26" s="11" t="s">
        <v>63</v>
      </c>
      <c r="G26" s="11" t="s">
        <v>87</v>
      </c>
      <c r="H26" s="11"/>
      <c r="I26" s="11"/>
      <c r="J26" s="11"/>
      <c r="K26" s="11"/>
      <c r="L26" s="11"/>
      <c r="M26" s="11"/>
      <c r="N26" s="11"/>
      <c r="O26" s="11"/>
    </row>
    <row r="27" spans="1:15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5" s="8" customFormat="1" x14ac:dyDescent="0.6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</row>
    <row r="29" spans="1:15" x14ac:dyDescent="0.65">
      <c r="A29" s="1" t="s">
        <v>11</v>
      </c>
    </row>
    <row r="30" spans="1:15" x14ac:dyDescent="0.65">
      <c r="A30" s="1" t="s">
        <v>34</v>
      </c>
      <c r="B30" s="1" t="s">
        <v>86</v>
      </c>
      <c r="D30" s="1" t="s">
        <v>7</v>
      </c>
      <c r="E30" s="1" t="s">
        <v>8</v>
      </c>
    </row>
    <row r="31" spans="1:15" x14ac:dyDescent="0.65">
      <c r="A31" s="1" t="s">
        <v>34</v>
      </c>
      <c r="B31" s="1" t="s">
        <v>85</v>
      </c>
      <c r="C31" s="2" t="s">
        <v>6</v>
      </c>
      <c r="D31" s="1" t="s">
        <v>9</v>
      </c>
    </row>
    <row r="32" spans="1:15" s="8" customFormat="1" x14ac:dyDescent="0.6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 s="8" customFormat="1" x14ac:dyDescent="0.65">
      <c r="A33" s="9" t="s">
        <v>34</v>
      </c>
      <c r="B33" s="9" t="s">
        <v>35</v>
      </c>
      <c r="C33" s="10"/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 s="8" customFormat="1" x14ac:dyDescent="0.6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 s="8" customFormat="1" x14ac:dyDescent="0.6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 s="8" customFormat="1" x14ac:dyDescent="0.65">
      <c r="A36" s="9" t="s">
        <v>34</v>
      </c>
      <c r="B36" s="9" t="s">
        <v>23</v>
      </c>
      <c r="C36" s="10" t="s">
        <v>9</v>
      </c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 s="8" customFormat="1" x14ac:dyDescent="0.65">
      <c r="A37" s="9" t="s">
        <v>34</v>
      </c>
      <c r="B37" s="9" t="s">
        <v>24</v>
      </c>
      <c r="C37" s="10"/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 s="8" customFormat="1" x14ac:dyDescent="0.6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 s="8" customFormat="1" x14ac:dyDescent="0.6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 s="8" customFormat="1" x14ac:dyDescent="0.6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 s="8" customFormat="1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</row>
    <row r="42" spans="1:15" s="8" customFormat="1" x14ac:dyDescent="0.6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</row>
    <row r="43" spans="1:15" x14ac:dyDescent="0.65">
      <c r="A43" s="1" t="s">
        <v>11</v>
      </c>
    </row>
    <row r="44" spans="1:15" x14ac:dyDescent="0.65">
      <c r="A44" s="1" t="s">
        <v>11</v>
      </c>
    </row>
    <row r="45" spans="1:15" x14ac:dyDescent="0.6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15" x14ac:dyDescent="0.65">
      <c r="A46" s="1" t="s">
        <v>59</v>
      </c>
      <c r="B46" s="1" t="s">
        <v>60</v>
      </c>
      <c r="C46" s="2" t="s">
        <v>86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15" x14ac:dyDescent="0.65">
      <c r="A47" s="1" t="s">
        <v>57</v>
      </c>
    </row>
    <row r="48" spans="1:15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v>500000</v>
      </c>
      <c r="E49" s="1" t="s">
        <v>45</v>
      </c>
      <c r="F49" s="1">
        <v>0</v>
      </c>
      <c r="G49" s="1" t="s">
        <v>46</v>
      </c>
      <c r="H49" s="1">
        <v>60</v>
      </c>
      <c r="I49" s="1" t="s">
        <v>52</v>
      </c>
      <c r="J49" s="1">
        <v>0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v>1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1</v>
      </c>
    </row>
    <row r="52" spans="1:10" x14ac:dyDescent="0.65">
      <c r="A52" s="1" t="s">
        <v>43</v>
      </c>
      <c r="B52" s="1" t="s">
        <v>56</v>
      </c>
      <c r="C52" s="2" t="s">
        <v>86</v>
      </c>
      <c r="D52" s="1">
        <v>1</v>
      </c>
      <c r="E52" s="1" t="s">
        <v>35</v>
      </c>
      <c r="F52" s="1">
        <v>0</v>
      </c>
      <c r="G52" s="1" t="s">
        <v>85</v>
      </c>
      <c r="H52" s="1">
        <v>0.1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v>1300000</v>
      </c>
      <c r="E53" s="1" t="s">
        <v>45</v>
      </c>
      <c r="F53" s="1">
        <v>0</v>
      </c>
      <c r="G53" s="1" t="s">
        <v>46</v>
      </c>
      <c r="H53" s="1">
        <v>70</v>
      </c>
      <c r="I53" s="1" t="s">
        <v>52</v>
      </c>
      <c r="J53" s="1">
        <v>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v>1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1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v>1500000</v>
      </c>
      <c r="E57" s="1" t="s">
        <v>45</v>
      </c>
      <c r="F57" s="1">
        <v>0</v>
      </c>
      <c r="G57" s="1" t="s">
        <v>46</v>
      </c>
      <c r="H57" s="1">
        <v>100</v>
      </c>
      <c r="I57" s="1" t="s">
        <v>52</v>
      </c>
      <c r="J57" s="1">
        <v>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v>1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v>2500000</v>
      </c>
      <c r="E61" s="1" t="s">
        <v>45</v>
      </c>
      <c r="F61" s="1">
        <v>0</v>
      </c>
      <c r="G61" s="1" t="s">
        <v>46</v>
      </c>
      <c r="H61" s="1">
        <v>250</v>
      </c>
      <c r="I61" s="1" t="s">
        <v>52</v>
      </c>
      <c r="J61" s="1">
        <v>0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v>1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65">
      <c r="A64" s="1" t="s">
        <v>49</v>
      </c>
      <c r="B64" s="1" t="s">
        <v>56</v>
      </c>
      <c r="C64" s="2" t="s">
        <v>85</v>
      </c>
      <c r="D64" s="1">
        <v>1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v>1300000</v>
      </c>
      <c r="E65" s="1" t="s">
        <v>45</v>
      </c>
      <c r="F65" s="1">
        <v>0</v>
      </c>
      <c r="G65" s="1" t="s">
        <v>46</v>
      </c>
      <c r="H65" s="1">
        <v>60</v>
      </c>
      <c r="I65" s="1" t="s">
        <v>52</v>
      </c>
      <c r="J65" s="1">
        <v>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v>1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v>1</v>
      </c>
      <c r="E68" s="2" t="s">
        <v>30</v>
      </c>
      <c r="F68" s="1">
        <v>1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v>0</v>
      </c>
      <c r="G69" s="1" t="s">
        <v>46</v>
      </c>
      <c r="H69" s="1">
        <v>60</v>
      </c>
      <c r="I69" s="1" t="s">
        <v>52</v>
      </c>
      <c r="J69" s="1">
        <v>0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v>1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86</v>
      </c>
      <c r="D72" s="1">
        <f>D70</f>
        <v>1</v>
      </c>
      <c r="E72" s="1" t="s">
        <v>35</v>
      </c>
      <c r="F72" s="1">
        <v>1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N76"/>
  <sheetViews>
    <sheetView topLeftCell="A36" zoomScale="78" zoomScaleNormal="78" workbookViewId="0">
      <selection activeCell="A57" sqref="A57"/>
    </sheetView>
  </sheetViews>
  <sheetFormatPr baseColWidth="10" defaultRowHeight="14.25" x14ac:dyDescent="0.65"/>
  <cols>
    <col min="1" max="1" width="10.90625" style="1"/>
    <col min="2" max="2" width="23.7265625" style="1" customWidth="1"/>
    <col min="3" max="3" width="10.90625" style="2"/>
    <col min="4" max="5" width="10.90625" style="1"/>
    <col min="6" max="6" width="13.7265625" style="1" customWidth="1"/>
    <col min="7" max="15" width="10.90625" style="1"/>
  </cols>
  <sheetData>
    <row r="1" spans="1:40" x14ac:dyDescent="0.65">
      <c r="A1" s="1" t="s">
        <v>0</v>
      </c>
    </row>
    <row r="2" spans="1:40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40" x14ac:dyDescent="0.65">
      <c r="A3" s="1" t="s">
        <v>11</v>
      </c>
    </row>
    <row r="4" spans="1:40" x14ac:dyDescent="0.65">
      <c r="A4" s="1" t="s">
        <v>11</v>
      </c>
    </row>
    <row r="5" spans="1:40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40" x14ac:dyDescent="0.65">
      <c r="A6" s="1" t="s">
        <v>76</v>
      </c>
      <c r="B6" s="1" t="s">
        <v>75</v>
      </c>
      <c r="C6" s="2">
        <v>0</v>
      </c>
    </row>
    <row r="7" spans="1:40" x14ac:dyDescent="0.65">
      <c r="A7" s="1" t="s">
        <v>74</v>
      </c>
      <c r="B7" s="1" t="s">
        <v>73</v>
      </c>
      <c r="C7" s="2">
        <f>150000/I2/I2/10</f>
        <v>60000</v>
      </c>
      <c r="D7" s="1" t="s">
        <v>23</v>
      </c>
      <c r="E7" s="2">
        <v>0</v>
      </c>
      <c r="F7" s="1" t="s">
        <v>85</v>
      </c>
      <c r="G7" s="2">
        <f>150000/I2/I2/10</f>
        <v>60000</v>
      </c>
      <c r="H7" s="1" t="s">
        <v>86</v>
      </c>
      <c r="I7" s="2">
        <f>150000/I2/I2/10</f>
        <v>60000</v>
      </c>
    </row>
    <row r="8" spans="1:40" x14ac:dyDescent="0.65">
      <c r="A8" s="1" t="s">
        <v>11</v>
      </c>
    </row>
    <row r="9" spans="1:40" x14ac:dyDescent="0.65">
      <c r="A9" s="1" t="s">
        <v>11</v>
      </c>
    </row>
    <row r="10" spans="1:40" x14ac:dyDescent="0.65">
      <c r="A10" s="1" t="s">
        <v>11</v>
      </c>
    </row>
    <row r="11" spans="1:40" x14ac:dyDescent="0.65">
      <c r="A11" s="1" t="s">
        <v>11</v>
      </c>
    </row>
    <row r="12" spans="1:40" x14ac:dyDescent="0.65">
      <c r="A12" s="1" t="s">
        <v>11</v>
      </c>
    </row>
    <row r="13" spans="1:40" x14ac:dyDescent="0.65">
      <c r="A13" s="1" t="s">
        <v>11</v>
      </c>
    </row>
    <row r="14" spans="1:40" x14ac:dyDescent="0.65">
      <c r="A14" s="1" t="s">
        <v>11</v>
      </c>
    </row>
    <row r="15" spans="1:40" x14ac:dyDescent="0.65">
      <c r="A15" s="1" t="s">
        <v>12</v>
      </c>
    </row>
    <row r="16" spans="1:40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0.3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0.3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0.01</v>
      </c>
      <c r="AB16" s="8" t="s">
        <v>21</v>
      </c>
      <c r="AC16" s="8">
        <v>0.01</v>
      </c>
      <c r="AD16" s="8" t="s">
        <v>84</v>
      </c>
      <c r="AE16" s="8">
        <v>1E-3</v>
      </c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65">
      <c r="A17" s="1" t="s">
        <v>11</v>
      </c>
    </row>
    <row r="18" spans="1:40" x14ac:dyDescent="0.65">
      <c r="A18" s="1" t="s">
        <v>11</v>
      </c>
    </row>
    <row r="19" spans="1:40" x14ac:dyDescent="0.65">
      <c r="A19" s="1" t="s">
        <v>11</v>
      </c>
    </row>
    <row r="20" spans="1:40" x14ac:dyDescent="0.65">
      <c r="A20" s="1" t="s">
        <v>11</v>
      </c>
    </row>
    <row r="21" spans="1:40" x14ac:dyDescent="0.65">
      <c r="A21" s="1" t="s">
        <v>11</v>
      </c>
    </row>
    <row r="22" spans="1:40" x14ac:dyDescent="0.65">
      <c r="A22" s="1" t="s">
        <v>11</v>
      </c>
    </row>
    <row r="23" spans="1:40" x14ac:dyDescent="0.65">
      <c r="A23" s="1" t="s">
        <v>11</v>
      </c>
    </row>
    <row r="24" spans="1:40" x14ac:dyDescent="0.65">
      <c r="A24" s="1" t="s">
        <v>11</v>
      </c>
    </row>
    <row r="25" spans="1:40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  <c r="I25" s="1" t="s">
        <v>86</v>
      </c>
      <c r="J25" s="1" t="s">
        <v>85</v>
      </c>
    </row>
    <row r="26" spans="1:40" x14ac:dyDescent="0.65">
      <c r="A26" s="11" t="s">
        <v>26</v>
      </c>
      <c r="B26" s="11" t="s">
        <v>27</v>
      </c>
      <c r="C26" s="12" t="s">
        <v>28</v>
      </c>
      <c r="D26" s="11" t="s">
        <v>29</v>
      </c>
      <c r="E26" s="11" t="s">
        <v>31</v>
      </c>
      <c r="F26" s="11" t="s">
        <v>63</v>
      </c>
      <c r="G26" s="11" t="s">
        <v>87</v>
      </c>
      <c r="H26" s="11"/>
      <c r="I26" s="11"/>
      <c r="J26" s="11"/>
      <c r="K26" s="11"/>
      <c r="L26" s="11"/>
      <c r="M26" s="11"/>
      <c r="N26" s="11"/>
      <c r="O26" s="11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40" x14ac:dyDescent="0.6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65">
      <c r="A29" s="1" t="s">
        <v>11</v>
      </c>
    </row>
    <row r="30" spans="1:40" x14ac:dyDescent="0.65">
      <c r="A30" s="1" t="s">
        <v>34</v>
      </c>
      <c r="B30" s="1" t="s">
        <v>86</v>
      </c>
      <c r="D30" s="1" t="s">
        <v>7</v>
      </c>
      <c r="E30" s="1" t="s">
        <v>8</v>
      </c>
    </row>
    <row r="31" spans="1:40" x14ac:dyDescent="0.65">
      <c r="A31" s="1" t="s">
        <v>34</v>
      </c>
      <c r="B31" s="1" t="s">
        <v>85</v>
      </c>
      <c r="C31" s="2" t="s">
        <v>6</v>
      </c>
      <c r="D31" s="1" t="s">
        <v>9</v>
      </c>
    </row>
    <row r="32" spans="1:40" x14ac:dyDescent="0.6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65">
      <c r="A33" s="9" t="s">
        <v>34</v>
      </c>
      <c r="B33" s="9" t="s">
        <v>35</v>
      </c>
      <c r="C33" s="10"/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6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6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65">
      <c r="A36" s="9" t="s">
        <v>34</v>
      </c>
      <c r="B36" s="9" t="s">
        <v>23</v>
      </c>
      <c r="C36" s="10" t="s">
        <v>9</v>
      </c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65">
      <c r="A37" s="9" t="s">
        <v>34</v>
      </c>
      <c r="B37" s="9" t="s">
        <v>24</v>
      </c>
      <c r="C37" s="10"/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6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6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6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</row>
    <row r="42" spans="1:40" x14ac:dyDescent="0.6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</row>
    <row r="43" spans="1:40" x14ac:dyDescent="0.65">
      <c r="A43" s="1" t="s">
        <v>11</v>
      </c>
    </row>
    <row r="44" spans="1:40" x14ac:dyDescent="0.65">
      <c r="A44" s="1" t="s">
        <v>11</v>
      </c>
    </row>
    <row r="45" spans="1:40" x14ac:dyDescent="0.6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40" x14ac:dyDescent="0.65">
      <c r="A46" s="1" t="s">
        <v>59</v>
      </c>
      <c r="B46" s="1" t="s">
        <v>60</v>
      </c>
      <c r="C46" s="2" t="s">
        <v>86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40" x14ac:dyDescent="0.65">
      <c r="A47" s="1" t="s">
        <v>57</v>
      </c>
    </row>
    <row r="48" spans="1:40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f>F49</f>
        <v>904778.68423386035</v>
      </c>
    </row>
    <row r="52" spans="1:10" x14ac:dyDescent="0.65">
      <c r="A52" s="1" t="s">
        <v>43</v>
      </c>
      <c r="B52" s="1" t="s">
        <v>56</v>
      </c>
      <c r="C52" s="2" t="s">
        <v>86</v>
      </c>
      <c r="D52" s="1">
        <f>D49</f>
        <v>45238.93421169302</v>
      </c>
      <c r="E52" s="1" t="s">
        <v>35</v>
      </c>
      <c r="F52" s="1">
        <v>0</v>
      </c>
      <c r="G52" s="1" t="s">
        <v>85</v>
      </c>
      <c r="H52" s="1">
        <f>D49/10</f>
        <v>4523.8934211693022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65">
      <c r="A64" s="1" t="s">
        <v>49</v>
      </c>
      <c r="B64" s="1" t="s">
        <v>56</v>
      </c>
      <c r="C64" s="2" t="s">
        <v>85</v>
      </c>
      <c r="D64" s="1">
        <f>D61</f>
        <v>180955.73684677208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v>80000</v>
      </c>
      <c r="E68" s="2" t="s">
        <v>30</v>
      </c>
      <c r="F68" s="1">
        <v>80000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86</v>
      </c>
      <c r="D72" s="1">
        <f>D70</f>
        <v>45238.93421169302</v>
      </c>
      <c r="E72" s="1" t="s">
        <v>35</v>
      </c>
      <c r="F72" s="1">
        <v>45000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zoomScale="83" zoomScaleNormal="83" workbookViewId="0">
      <selection activeCell="A12" sqref="A12"/>
    </sheetView>
  </sheetViews>
  <sheetFormatPr baseColWidth="10" defaultRowHeight="14.25" x14ac:dyDescent="0.65"/>
  <cols>
    <col min="4" max="4" width="4.26953125" customWidth="1"/>
    <col min="8" max="8" width="4.54296875" customWidth="1"/>
  </cols>
  <sheetData>
    <row r="1" spans="1:12" x14ac:dyDescent="0.65">
      <c r="A1" t="s">
        <v>69</v>
      </c>
      <c r="I1" t="s">
        <v>67</v>
      </c>
      <c r="J1" t="s">
        <v>68</v>
      </c>
      <c r="K1" t="s">
        <v>75</v>
      </c>
    </row>
    <row r="2" spans="1:12" x14ac:dyDescent="0.65">
      <c r="A2" s="4" t="s">
        <v>8</v>
      </c>
      <c r="B2" s="5" t="s">
        <v>10</v>
      </c>
      <c r="C2" s="6" t="s">
        <v>6</v>
      </c>
      <c r="E2" s="4" t="s">
        <v>23</v>
      </c>
      <c r="F2" s="5" t="s">
        <v>24</v>
      </c>
      <c r="G2" s="6" t="s">
        <v>27</v>
      </c>
      <c r="I2" s="8">
        <v>45000</v>
      </c>
      <c r="J2" s="8">
        <v>300000</v>
      </c>
      <c r="K2" s="8">
        <v>10</v>
      </c>
    </row>
    <row r="3" spans="1:12" ht="15.5" x14ac:dyDescent="0.7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6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45000</v>
      </c>
      <c r="J4" s="7">
        <v>300000</v>
      </c>
      <c r="K4" s="7">
        <v>10</v>
      </c>
    </row>
    <row r="5" spans="1:12" x14ac:dyDescent="0.6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6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6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65">
      <c r="E8" s="1" t="s">
        <v>29</v>
      </c>
      <c r="F8" s="1" t="s">
        <v>29</v>
      </c>
      <c r="G8" s="1" t="s">
        <v>29</v>
      </c>
    </row>
    <row r="9" spans="1:12" x14ac:dyDescent="0.65">
      <c r="E9" s="1" t="s">
        <v>30</v>
      </c>
      <c r="F9" s="1" t="s">
        <v>30</v>
      </c>
      <c r="G9" s="1" t="s">
        <v>30</v>
      </c>
    </row>
    <row r="10" spans="1:12" x14ac:dyDescent="0.6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65">
      <c r="E11" s="1" t="s">
        <v>73</v>
      </c>
      <c r="F11" s="1" t="s">
        <v>73</v>
      </c>
      <c r="G11" s="1" t="s">
        <v>73</v>
      </c>
      <c r="L11" s="1"/>
    </row>
    <row r="12" spans="1:12" x14ac:dyDescent="0.6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4.25" x14ac:dyDescent="0.65"/>
  <cols>
    <col min="1" max="1" width="22.40625" style="1" customWidth="1"/>
    <col min="2" max="2" width="23.7265625" style="1" customWidth="1"/>
    <col min="3" max="3" width="11.40625" style="2"/>
    <col min="4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65">
      <c r="A6" s="1" t="s">
        <v>11</v>
      </c>
    </row>
    <row r="7" spans="1:19" x14ac:dyDescent="0.65">
      <c r="A7" s="1" t="s">
        <v>11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11</v>
      </c>
    </row>
    <row r="33" spans="1:11" x14ac:dyDescent="0.6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6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65">
      <c r="A40" s="1" t="s">
        <v>11</v>
      </c>
    </row>
    <row r="41" spans="1:11" x14ac:dyDescent="0.65">
      <c r="A41" s="1" t="s">
        <v>11</v>
      </c>
    </row>
    <row r="42" spans="1:11" x14ac:dyDescent="0.65">
      <c r="A42" s="1" t="s">
        <v>11</v>
      </c>
    </row>
    <row r="43" spans="1:11" x14ac:dyDescent="0.65">
      <c r="A43" s="1" t="s">
        <v>11</v>
      </c>
    </row>
    <row r="44" spans="1:11" x14ac:dyDescent="0.6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6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65">
      <c r="A46" s="1" t="s">
        <v>57</v>
      </c>
    </row>
    <row r="47" spans="1:11" x14ac:dyDescent="0.6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6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6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6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6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6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6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6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6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6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6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6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6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6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6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6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6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6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6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6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6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6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6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6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6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2017-12-28T19:39:40Z</dcterms:modified>
</cp:coreProperties>
</file>
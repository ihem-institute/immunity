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rga\workspace\immunity\"/>
    </mc:Choice>
  </mc:AlternateContent>
  <bookViews>
    <workbookView xWindow="0" yWindow="0" windowWidth="9075" windowHeight="5175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F69" i="4" l="1"/>
  <c r="D69" i="4"/>
  <c r="D72" i="4" s="1"/>
  <c r="D62" i="4"/>
  <c r="F61" i="4"/>
  <c r="D63" i="4" s="1"/>
  <c r="D61" i="4"/>
  <c r="F49" i="4"/>
  <c r="D49" i="4"/>
  <c r="D52" i="4" s="1"/>
  <c r="F69" i="1"/>
  <c r="D69" i="1"/>
  <c r="D72" i="1" s="1"/>
  <c r="D53" i="4" l="1"/>
  <c r="D57" i="4"/>
  <c r="D50" i="4"/>
  <c r="D70" i="4"/>
  <c r="D70" i="1"/>
  <c r="D58" i="4" l="1"/>
  <c r="F60" i="4"/>
  <c r="F57" i="4"/>
  <c r="H57" i="4" s="1"/>
  <c r="D60" i="4"/>
  <c r="D65" i="4"/>
  <c r="D66" i="4" s="1"/>
  <c r="D68" i="4" s="1"/>
  <c r="D54" i="4"/>
  <c r="F53" i="4"/>
  <c r="D56" i="4"/>
  <c r="F60" i="2"/>
  <c r="D62" i="2" s="1"/>
  <c r="D60" i="2"/>
  <c r="D61" i="2" s="1"/>
  <c r="D52" i="2"/>
  <c r="D64" i="2" s="1"/>
  <c r="D65" i="2" s="1"/>
  <c r="D67" i="2" s="1"/>
  <c r="F48" i="2"/>
  <c r="D48" i="2"/>
  <c r="D51" i="2" s="1"/>
  <c r="F65" i="4" l="1"/>
  <c r="H65" i="4" s="1"/>
  <c r="H53" i="4"/>
  <c r="D49" i="2"/>
  <c r="F52" i="2"/>
  <c r="D56" i="2"/>
  <c r="D55" i="2"/>
  <c r="D53" i="2"/>
  <c r="F61" i="1"/>
  <c r="D63" i="1" s="1"/>
  <c r="D61" i="1"/>
  <c r="D62" i="1" s="1"/>
  <c r="F49" i="1"/>
  <c r="D49" i="1"/>
  <c r="D53" i="1" s="1"/>
  <c r="D57" i="2" l="1"/>
  <c r="F59" i="2"/>
  <c r="F56" i="2"/>
  <c r="H56" i="2" s="1"/>
  <c r="D59" i="2"/>
  <c r="H52" i="2"/>
  <c r="F64" i="2"/>
  <c r="H64" i="2" s="1"/>
  <c r="D54" i="1"/>
  <c r="D56" i="1"/>
  <c r="D65" i="1"/>
  <c r="D66" i="1" s="1"/>
  <c r="D68" i="1" s="1"/>
  <c r="F53" i="1"/>
  <c r="F65" i="1" s="1"/>
  <c r="H65" i="1" s="1"/>
  <c r="D52" i="1"/>
  <c r="D57" i="1"/>
  <c r="D50" i="1"/>
  <c r="H53" i="1" l="1"/>
  <c r="F60" i="1"/>
  <c r="F57" i="1"/>
  <c r="H57" i="1" s="1"/>
  <c r="D60" i="1"/>
  <c r="D58" i="1"/>
</calcChain>
</file>

<file path=xl/sharedStrings.xml><?xml version="1.0" encoding="utf-8"?>
<sst xmlns="http://schemas.openxmlformats.org/spreadsheetml/2006/main" count="752" uniqueCount="78">
  <si>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</si>
  <si>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</si>
  <si>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</si>
  <si>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</si>
  <si>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</si>
  <si>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</si>
  <si>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</si>
  <si>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</si>
  <si>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</si>
  <si>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</si>
  <si>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</si>
  <si>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</si>
  <si>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</si>
  <si>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</si>
  <si>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</si>
  <si>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</si>
  <si>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</si>
  <si>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</si>
  <si>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</si>
  <si>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</si>
  <si>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</si>
  <si>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</si>
  <si>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</si>
  <si>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</si>
  <si>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</si>
  <si>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</si>
  <si>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</si>
  <si>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</si>
  <si>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</si>
  <si>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</si>
  <si>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</si>
  <si>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</si>
  <si>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</si>
  <si>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</si>
  <si>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</si>
  <si>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</si>
  <si>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</si>
  <si>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</si>
  <si>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</si>
  <si>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</si>
  <si>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</si>
  <si>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</si>
  <si>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</si>
  <si>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</si>
  <si>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</si>
  <si>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</si>
  <si>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</si>
  <si>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</si>
  <si>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</si>
  <si>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</si>
  <si>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</si>
  <si>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</si>
  <si>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</si>
  <si>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</si>
  <si>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</si>
  <si>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</si>
  <si>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</si>
  <si>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</si>
  <si>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</si>
  <si>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</si>
  <si>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</si>
  <si>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</si>
  <si>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</si>
  <si>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</si>
  <si>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</si>
  <si>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</si>
  <si>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</si>
  <si>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</si>
  <si>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</si>
  <si>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</si>
  <si>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</si>
  <si>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</si>
  <si>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</si>
  <si>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</si>
  <si>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</si>
  <si>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</si>
  <si>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</si>
  <si>
    <t>LANCL2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</si>
</sst>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6"/>
  <sheetViews>
    <sheetView tabSelected="1" topLeftCell="A24" zoomScale="86" zoomScaleNormal="86" workbookViewId="0">
      <selection activeCell="P27" sqref="P27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  <c r="J2" s="1" t="s">
        <v>71</v>
      </c>
      <c r="K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19" x14ac:dyDescent="0.25">
      <c r="A6" s="1" t="s">
        <v>76</v>
      </c>
      <c r="B6" s="1" t="s">
        <v>75</v>
      </c>
      <c r="C6" s="2">
        <v>0</v>
      </c>
    </row>
    <row r="7" spans="1:19" x14ac:dyDescent="0.25">
      <c r="A7" s="1" t="s">
        <v>74</v>
      </c>
      <c r="B7" s="1" t="s">
        <v>73</v>
      </c>
      <c r="C7" s="2">
        <v>15000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25">
      <c r="A39" s="1" t="s">
        <v>34</v>
      </c>
      <c r="B39" s="1" t="s">
        <v>25</v>
      </c>
      <c r="C39" s="2" t="s">
        <v>8</v>
      </c>
      <c r="D39" s="1" t="s">
        <v>10</v>
      </c>
    </row>
    <row r="40" spans="1:11" x14ac:dyDescent="0.25">
      <c r="A40" s="1" t="s">
        <v>36</v>
      </c>
      <c r="B40" s="1" t="s">
        <v>6</v>
      </c>
      <c r="C40" s="2">
        <v>0</v>
      </c>
      <c r="D40" s="1" t="s">
        <v>7</v>
      </c>
      <c r="E40" s="2">
        <v>0</v>
      </c>
      <c r="F40" s="1" t="s">
        <v>8</v>
      </c>
      <c r="G40" s="2">
        <v>-1</v>
      </c>
      <c r="H40" s="1" t="s">
        <v>9</v>
      </c>
      <c r="I40" s="2">
        <v>-1</v>
      </c>
      <c r="J40" s="1" t="s">
        <v>10</v>
      </c>
      <c r="K40" s="2">
        <v>-1</v>
      </c>
    </row>
    <row r="41" spans="1:11" x14ac:dyDescent="0.25">
      <c r="A41" s="1" t="s">
        <v>72</v>
      </c>
      <c r="B41" s="1" t="s">
        <v>6</v>
      </c>
      <c r="C41" s="2">
        <v>0.1</v>
      </c>
      <c r="D41" s="1" t="s">
        <v>7</v>
      </c>
      <c r="E41" s="1">
        <v>0</v>
      </c>
      <c r="F41" s="1" t="s">
        <v>8</v>
      </c>
      <c r="G41" s="1">
        <v>0.1</v>
      </c>
      <c r="H41" s="1" t="s">
        <v>9</v>
      </c>
      <c r="I41" s="1">
        <v>0</v>
      </c>
      <c r="J41" s="1" t="s">
        <v>10</v>
      </c>
      <c r="K41" s="1">
        <v>0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11</v>
      </c>
    </row>
    <row r="45" spans="1:11" x14ac:dyDescent="0.2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8</v>
      </c>
      <c r="F45" s="1" t="s">
        <v>62</v>
      </c>
      <c r="G45" s="1" t="s">
        <v>9</v>
      </c>
    </row>
    <row r="46" spans="1:11" x14ac:dyDescent="0.25">
      <c r="A46" s="1" t="s">
        <v>59</v>
      </c>
      <c r="B46" s="1" t="s">
        <v>60</v>
      </c>
      <c r="C46" s="2" t="s">
        <v>73</v>
      </c>
      <c r="D46" s="1" t="s">
        <v>61</v>
      </c>
      <c r="E46" s="1" t="s">
        <v>35</v>
      </c>
      <c r="F46" s="1" t="s">
        <v>62</v>
      </c>
      <c r="G46" s="1" t="s">
        <v>27</v>
      </c>
    </row>
    <row r="47" spans="1:11" x14ac:dyDescent="0.25">
      <c r="A47" s="1" t="s">
        <v>57</v>
      </c>
    </row>
    <row r="48" spans="1:11" x14ac:dyDescent="0.2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25">
      <c r="A49" s="1" t="s">
        <v>43</v>
      </c>
      <c r="B49" s="1" t="s">
        <v>53</v>
      </c>
      <c r="C49" s="2" t="s">
        <v>44</v>
      </c>
      <c r="D49" s="1">
        <f>4*PI()*H49^2</f>
        <v>5026.5482457436692</v>
      </c>
      <c r="E49" s="1" t="s">
        <v>45</v>
      </c>
      <c r="F49" s="1">
        <f>4/3*PI()*H49^3</f>
        <v>33510.321638291127</v>
      </c>
      <c r="G49" s="1" t="s">
        <v>46</v>
      </c>
      <c r="H49" s="1">
        <v>20</v>
      </c>
      <c r="I49" s="1" t="s">
        <v>52</v>
      </c>
      <c r="J49" s="1">
        <v>9</v>
      </c>
    </row>
    <row r="50" spans="1:10" x14ac:dyDescent="0.25">
      <c r="A50" s="1" t="s">
        <v>43</v>
      </c>
      <c r="B50" s="1" t="s">
        <v>54</v>
      </c>
      <c r="C50" s="2" t="s">
        <v>6</v>
      </c>
      <c r="D50" s="1">
        <f>D49</f>
        <v>5026.5482457436692</v>
      </c>
    </row>
    <row r="51" spans="1:10" x14ac:dyDescent="0.25">
      <c r="A51" s="1" t="s">
        <v>43</v>
      </c>
      <c r="B51" s="1" t="s">
        <v>55</v>
      </c>
      <c r="C51" s="2" t="s">
        <v>27</v>
      </c>
      <c r="D51" s="1">
        <v>1000</v>
      </c>
    </row>
    <row r="52" spans="1:10" x14ac:dyDescent="0.25">
      <c r="A52" s="1" t="s">
        <v>43</v>
      </c>
      <c r="B52" s="1" t="s">
        <v>56</v>
      </c>
      <c r="C52" s="2" t="s">
        <v>23</v>
      </c>
      <c r="D52" s="1">
        <f>D49/100</f>
        <v>50.26548245743669</v>
      </c>
      <c r="E52" s="1" t="s">
        <v>35</v>
      </c>
      <c r="F52" s="1">
        <v>0</v>
      </c>
    </row>
    <row r="53" spans="1:10" x14ac:dyDescent="0.25">
      <c r="A53" s="1" t="s">
        <v>47</v>
      </c>
      <c r="B53" s="1" t="s">
        <v>53</v>
      </c>
      <c r="C53" s="2" t="s">
        <v>44</v>
      </c>
      <c r="D53" s="1">
        <f>D49</f>
        <v>5026.5482457436692</v>
      </c>
      <c r="E53" s="1" t="s">
        <v>45</v>
      </c>
      <c r="F53" s="1">
        <f>D53*5</f>
        <v>25132.741228718347</v>
      </c>
      <c r="G53" s="1" t="s">
        <v>46</v>
      </c>
      <c r="H53" s="1">
        <f>(F53*3/4/PI())^(1/3)</f>
        <v>18.171205928321388</v>
      </c>
      <c r="I53" s="1" t="s">
        <v>52</v>
      </c>
      <c r="J53" s="1">
        <v>10</v>
      </c>
    </row>
    <row r="54" spans="1:10" x14ac:dyDescent="0.25">
      <c r="A54" s="1" t="s">
        <v>47</v>
      </c>
      <c r="B54" s="1" t="s">
        <v>54</v>
      </c>
      <c r="C54" s="2" t="s">
        <v>7</v>
      </c>
      <c r="D54" s="1">
        <f>D53</f>
        <v>5026.5482457436692</v>
      </c>
    </row>
    <row r="55" spans="1:10" x14ac:dyDescent="0.2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25">
      <c r="A56" s="1" t="s">
        <v>47</v>
      </c>
      <c r="B56" s="1" t="s">
        <v>56</v>
      </c>
      <c r="C56" s="2" t="s">
        <v>23</v>
      </c>
      <c r="D56" s="1">
        <f>D53/100</f>
        <v>50.26548245743669</v>
      </c>
    </row>
    <row r="57" spans="1:10" x14ac:dyDescent="0.25">
      <c r="A57" s="1" t="s">
        <v>48</v>
      </c>
      <c r="B57" s="1" t="s">
        <v>53</v>
      </c>
      <c r="C57" s="2" t="s">
        <v>44</v>
      </c>
      <c r="D57" s="1">
        <f>D49*2</f>
        <v>10053.096491487338</v>
      </c>
      <c r="E57" s="1" t="s">
        <v>45</v>
      </c>
      <c r="F57" s="1">
        <f>D57*5</f>
        <v>50265.482457436694</v>
      </c>
      <c r="G57" s="1" t="s">
        <v>46</v>
      </c>
      <c r="H57" s="1">
        <f>(F57*3/4/PI())^(1/3)</f>
        <v>22.894284851066633</v>
      </c>
      <c r="I57" s="1" t="s">
        <v>52</v>
      </c>
      <c r="J57" s="1">
        <v>10</v>
      </c>
    </row>
    <row r="58" spans="1:10" x14ac:dyDescent="0.25">
      <c r="A58" s="1" t="s">
        <v>48</v>
      </c>
      <c r="B58" s="1" t="s">
        <v>54</v>
      </c>
      <c r="C58" s="2" t="s">
        <v>8</v>
      </c>
      <c r="D58" s="1">
        <f>D57</f>
        <v>10053.096491487338</v>
      </c>
    </row>
    <row r="59" spans="1:10" x14ac:dyDescent="0.2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25">
      <c r="A60" s="1" t="s">
        <v>48</v>
      </c>
      <c r="B60" s="1" t="s">
        <v>56</v>
      </c>
      <c r="C60" s="2" t="s">
        <v>23</v>
      </c>
      <c r="D60" s="1">
        <f>D57/100</f>
        <v>100.53096491487338</v>
      </c>
      <c r="E60" s="1" t="s">
        <v>25</v>
      </c>
      <c r="F60" s="1">
        <f>D57/1000</f>
        <v>10.053096491487338</v>
      </c>
    </row>
    <row r="61" spans="1:10" x14ac:dyDescent="0.25">
      <c r="A61" s="1" t="s">
        <v>49</v>
      </c>
      <c r="B61" s="1" t="s">
        <v>53</v>
      </c>
      <c r="C61" s="2" t="s">
        <v>44</v>
      </c>
      <c r="D61" s="1">
        <f>4*PI()*H61^2</f>
        <v>20106.192982974677</v>
      </c>
      <c r="E61" s="1" t="s">
        <v>45</v>
      </c>
      <c r="F61" s="1">
        <f>4/3*PI()*H61^3</f>
        <v>268082.57310632901</v>
      </c>
      <c r="G61" s="1" t="s">
        <v>46</v>
      </c>
      <c r="H61" s="1">
        <v>40</v>
      </c>
      <c r="I61" s="1" t="s">
        <v>52</v>
      </c>
      <c r="J61" s="1">
        <v>4</v>
      </c>
    </row>
    <row r="62" spans="1:10" x14ac:dyDescent="0.25">
      <c r="A62" s="1" t="s">
        <v>49</v>
      </c>
      <c r="B62" s="1" t="s">
        <v>54</v>
      </c>
      <c r="C62" s="2" t="s">
        <v>9</v>
      </c>
      <c r="D62" s="1">
        <f>D61</f>
        <v>20106.192982974677</v>
      </c>
    </row>
    <row r="63" spans="1:10" x14ac:dyDescent="0.25">
      <c r="A63" s="1" t="s">
        <v>49</v>
      </c>
      <c r="B63" s="1" t="s">
        <v>55</v>
      </c>
      <c r="C63" s="2" t="s">
        <v>30</v>
      </c>
      <c r="D63" s="1">
        <f>F61/10</f>
        <v>26808.2573106329</v>
      </c>
    </row>
    <row r="64" spans="1:10" x14ac:dyDescent="0.2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25">
      <c r="A65" s="1" t="s">
        <v>50</v>
      </c>
      <c r="B65" s="1" t="s">
        <v>53</v>
      </c>
      <c r="C65" s="2" t="s">
        <v>44</v>
      </c>
      <c r="D65" s="1">
        <f>D53</f>
        <v>5026.5482457436692</v>
      </c>
      <c r="E65" s="1" t="s">
        <v>45</v>
      </c>
      <c r="F65" s="1">
        <f>F53</f>
        <v>25132.741228718347</v>
      </c>
      <c r="G65" s="1" t="s">
        <v>46</v>
      </c>
      <c r="H65" s="1">
        <f>(F65*3/4/PI())^(1/3)</f>
        <v>18.171205928321388</v>
      </c>
      <c r="I65" s="1" t="s">
        <v>52</v>
      </c>
      <c r="J65" s="1">
        <v>10</v>
      </c>
    </row>
    <row r="66" spans="1:10" x14ac:dyDescent="0.25">
      <c r="A66" s="1" t="s">
        <v>50</v>
      </c>
      <c r="B66" s="1" t="s">
        <v>54</v>
      </c>
      <c r="C66" s="2" t="s">
        <v>10</v>
      </c>
      <c r="D66" s="1">
        <f>D65</f>
        <v>5026.5482457436692</v>
      </c>
    </row>
    <row r="67" spans="1:10" x14ac:dyDescent="0.2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25">
      <c r="A68" s="1" t="s">
        <v>50</v>
      </c>
      <c r="B68" s="1" t="s">
        <v>56</v>
      </c>
      <c r="C68" s="2" t="s">
        <v>25</v>
      </c>
      <c r="D68" s="1">
        <f>D66</f>
        <v>5026.5482457436692</v>
      </c>
    </row>
    <row r="69" spans="1:10" x14ac:dyDescent="0.25">
      <c r="A69" s="1" t="s">
        <v>64</v>
      </c>
      <c r="B69" s="1" t="s">
        <v>53</v>
      </c>
      <c r="C69" s="2" t="s">
        <v>44</v>
      </c>
      <c r="D69" s="1">
        <f>4*PI()*H69^2</f>
        <v>5026.5482457436692</v>
      </c>
      <c r="E69" s="1" t="s">
        <v>45</v>
      </c>
      <c r="F69" s="1">
        <f>4/3*PI()*H69^3</f>
        <v>33510.321638291127</v>
      </c>
      <c r="G69" s="1" t="s">
        <v>46</v>
      </c>
      <c r="H69" s="1">
        <v>20</v>
      </c>
      <c r="I69" s="1" t="s">
        <v>52</v>
      </c>
      <c r="J69" s="1">
        <v>1</v>
      </c>
    </row>
    <row r="70" spans="1:10" x14ac:dyDescent="0.25">
      <c r="A70" s="1" t="s">
        <v>64</v>
      </c>
      <c r="B70" s="1" t="s">
        <v>54</v>
      </c>
      <c r="C70" s="2" t="s">
        <v>6</v>
      </c>
      <c r="D70" s="1">
        <f>D69</f>
        <v>5026.5482457436692</v>
      </c>
    </row>
    <row r="71" spans="1:10" x14ac:dyDescent="0.25">
      <c r="A71" s="1" t="s">
        <v>64</v>
      </c>
      <c r="B71" s="1" t="s">
        <v>55</v>
      </c>
      <c r="C71" s="2" t="s">
        <v>27</v>
      </c>
      <c r="D71" s="1">
        <v>1000</v>
      </c>
      <c r="E71" s="1" t="s">
        <v>63</v>
      </c>
      <c r="F71" s="1">
        <v>1</v>
      </c>
    </row>
    <row r="72" spans="1:10" x14ac:dyDescent="0.25">
      <c r="A72" s="1" t="s">
        <v>64</v>
      </c>
      <c r="B72" s="1" t="s">
        <v>56</v>
      </c>
      <c r="C72" s="2" t="s">
        <v>23</v>
      </c>
      <c r="D72" s="1">
        <f>D69/100</f>
        <v>50.26548245743669</v>
      </c>
      <c r="E72" s="1" t="s">
        <v>35</v>
      </c>
      <c r="F72" s="1">
        <v>0</v>
      </c>
    </row>
    <row r="73" spans="1:10" x14ac:dyDescent="0.25">
      <c r="A73" s="1" t="s">
        <v>11</v>
      </c>
    </row>
    <row r="74" spans="1:10" x14ac:dyDescent="0.25">
      <c r="A74" s="1" t="s">
        <v>11</v>
      </c>
    </row>
    <row r="75" spans="1:10" x14ac:dyDescent="0.25">
      <c r="A75" s="1" t="s">
        <v>11</v>
      </c>
    </row>
    <row r="76" spans="1:10" x14ac:dyDescent="0.2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6"/>
  <sheetViews>
    <sheetView topLeftCell="A7" workbookViewId="0">
      <selection activeCell="M62" sqref="M62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  <c r="J2" s="1" t="s">
        <v>71</v>
      </c>
      <c r="K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19" x14ac:dyDescent="0.25">
      <c r="A6" s="1" t="s">
        <v>76</v>
      </c>
      <c r="B6" s="1" t="s">
        <v>75</v>
      </c>
      <c r="C6" s="2">
        <v>0</v>
      </c>
    </row>
    <row r="7" spans="1:19" x14ac:dyDescent="0.25">
      <c r="A7" s="1" t="s">
        <v>74</v>
      </c>
      <c r="B7" s="1" t="s">
        <v>73</v>
      </c>
      <c r="C7" s="2">
        <v>15000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25">
      <c r="A39" s="1" t="s">
        <v>34</v>
      </c>
      <c r="B39" s="1" t="s">
        <v>25</v>
      </c>
      <c r="C39" s="2" t="s">
        <v>8</v>
      </c>
      <c r="D39" s="1" t="s">
        <v>10</v>
      </c>
    </row>
    <row r="40" spans="1:11" x14ac:dyDescent="0.25">
      <c r="A40" s="1" t="s">
        <v>36</v>
      </c>
      <c r="B40" s="1" t="s">
        <v>6</v>
      </c>
      <c r="C40" s="2">
        <v>0</v>
      </c>
      <c r="D40" s="1" t="s">
        <v>7</v>
      </c>
      <c r="E40" s="2">
        <v>0</v>
      </c>
      <c r="F40" s="1" t="s">
        <v>8</v>
      </c>
      <c r="G40" s="2">
        <v>-1</v>
      </c>
      <c r="H40" s="1" t="s">
        <v>9</v>
      </c>
      <c r="I40" s="2">
        <v>-1</v>
      </c>
      <c r="J40" s="1" t="s">
        <v>10</v>
      </c>
      <c r="K40" s="2">
        <v>-1</v>
      </c>
    </row>
    <row r="41" spans="1:11" x14ac:dyDescent="0.25">
      <c r="A41" s="1" t="s">
        <v>72</v>
      </c>
      <c r="B41" s="1" t="s">
        <v>6</v>
      </c>
      <c r="C41" s="2">
        <v>0.1</v>
      </c>
      <c r="D41" s="1" t="s">
        <v>7</v>
      </c>
      <c r="E41" s="1">
        <v>0</v>
      </c>
      <c r="F41" s="1" t="s">
        <v>8</v>
      </c>
      <c r="G41" s="1">
        <v>0.1</v>
      </c>
      <c r="H41" s="1" t="s">
        <v>9</v>
      </c>
      <c r="I41" s="1">
        <v>0</v>
      </c>
      <c r="J41" s="1" t="s">
        <v>10</v>
      </c>
      <c r="K41" s="1">
        <v>0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11</v>
      </c>
    </row>
    <row r="45" spans="1:11" x14ac:dyDescent="0.2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8</v>
      </c>
      <c r="F45" s="1" t="s">
        <v>62</v>
      </c>
      <c r="G45" s="1" t="s">
        <v>9</v>
      </c>
    </row>
    <row r="46" spans="1:11" x14ac:dyDescent="0.25">
      <c r="A46" s="1" t="s">
        <v>59</v>
      </c>
      <c r="B46" s="1" t="s">
        <v>60</v>
      </c>
      <c r="C46" s="2" t="s">
        <v>73</v>
      </c>
      <c r="D46" s="1" t="s">
        <v>61</v>
      </c>
      <c r="E46" s="1" t="s">
        <v>35</v>
      </c>
      <c r="F46" s="1" t="s">
        <v>62</v>
      </c>
      <c r="G46" s="1" t="s">
        <v>27</v>
      </c>
    </row>
    <row r="47" spans="1:11" x14ac:dyDescent="0.25">
      <c r="A47" s="1" t="s">
        <v>57</v>
      </c>
    </row>
    <row r="48" spans="1:11" x14ac:dyDescent="0.2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25">
      <c r="A49" s="1" t="s">
        <v>43</v>
      </c>
      <c r="B49" s="1" t="s">
        <v>53</v>
      </c>
      <c r="C49" s="2" t="s">
        <v>44</v>
      </c>
      <c r="D49" s="1">
        <f>4*PI()*H49^2</f>
        <v>5026.5482457436692</v>
      </c>
      <c r="E49" s="1" t="s">
        <v>45</v>
      </c>
      <c r="F49" s="1">
        <f>4/3*PI()*H49^3</f>
        <v>33510.321638291127</v>
      </c>
      <c r="G49" s="1" t="s">
        <v>46</v>
      </c>
      <c r="H49" s="1">
        <v>20</v>
      </c>
      <c r="I49" s="1" t="s">
        <v>52</v>
      </c>
      <c r="J49" s="1">
        <v>9</v>
      </c>
    </row>
    <row r="50" spans="1:10" x14ac:dyDescent="0.25">
      <c r="A50" s="1" t="s">
        <v>43</v>
      </c>
      <c r="B50" s="1" t="s">
        <v>54</v>
      </c>
      <c r="C50" s="2" t="s">
        <v>6</v>
      </c>
      <c r="D50" s="1">
        <f>D49</f>
        <v>5026.5482457436692</v>
      </c>
    </row>
    <row r="51" spans="1:10" x14ac:dyDescent="0.25">
      <c r="A51" s="1" t="s">
        <v>43</v>
      </c>
      <c r="B51" s="1" t="s">
        <v>55</v>
      </c>
      <c r="C51" s="2" t="s">
        <v>27</v>
      </c>
      <c r="D51" s="1">
        <v>1000</v>
      </c>
    </row>
    <row r="52" spans="1:10" x14ac:dyDescent="0.25">
      <c r="A52" s="1" t="s">
        <v>43</v>
      </c>
      <c r="B52" s="1" t="s">
        <v>56</v>
      </c>
      <c r="C52" s="2" t="s">
        <v>23</v>
      </c>
      <c r="D52" s="1">
        <f>D49/100</f>
        <v>50.26548245743669</v>
      </c>
      <c r="E52" s="1" t="s">
        <v>35</v>
      </c>
      <c r="F52" s="1">
        <v>0</v>
      </c>
    </row>
    <row r="53" spans="1:10" x14ac:dyDescent="0.25">
      <c r="A53" s="1" t="s">
        <v>47</v>
      </c>
      <c r="B53" s="1" t="s">
        <v>53</v>
      </c>
      <c r="C53" s="2" t="s">
        <v>44</v>
      </c>
      <c r="D53" s="1">
        <f>D49</f>
        <v>5026.5482457436692</v>
      </c>
      <c r="E53" s="1" t="s">
        <v>45</v>
      </c>
      <c r="F53" s="1">
        <f>D53*5</f>
        <v>25132.741228718347</v>
      </c>
      <c r="G53" s="1" t="s">
        <v>46</v>
      </c>
      <c r="H53" s="1">
        <f>(F53*3/4/PI())^(1/3)</f>
        <v>18.171205928321388</v>
      </c>
      <c r="I53" s="1" t="s">
        <v>52</v>
      </c>
      <c r="J53" s="1">
        <v>10</v>
      </c>
    </row>
    <row r="54" spans="1:10" x14ac:dyDescent="0.25">
      <c r="A54" s="1" t="s">
        <v>47</v>
      </c>
      <c r="B54" s="1" t="s">
        <v>54</v>
      </c>
      <c r="C54" s="2" t="s">
        <v>7</v>
      </c>
      <c r="D54" s="1">
        <f>D53</f>
        <v>5026.5482457436692</v>
      </c>
    </row>
    <row r="55" spans="1:10" x14ac:dyDescent="0.2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25">
      <c r="A56" s="1" t="s">
        <v>47</v>
      </c>
      <c r="B56" s="1" t="s">
        <v>56</v>
      </c>
      <c r="C56" s="2" t="s">
        <v>23</v>
      </c>
      <c r="D56" s="1">
        <f>D53/100</f>
        <v>50.26548245743669</v>
      </c>
    </row>
    <row r="57" spans="1:10" x14ac:dyDescent="0.25">
      <c r="A57" s="1" t="s">
        <v>48</v>
      </c>
      <c r="B57" s="1" t="s">
        <v>53</v>
      </c>
      <c r="C57" s="2" t="s">
        <v>44</v>
      </c>
      <c r="D57" s="1">
        <f>D49*2</f>
        <v>10053.096491487338</v>
      </c>
      <c r="E57" s="1" t="s">
        <v>45</v>
      </c>
      <c r="F57" s="1">
        <f>D57*5</f>
        <v>50265.482457436694</v>
      </c>
      <c r="G57" s="1" t="s">
        <v>46</v>
      </c>
      <c r="H57" s="1">
        <f>(F57*3/4/PI())^(1/3)</f>
        <v>22.894284851066633</v>
      </c>
      <c r="I57" s="1" t="s">
        <v>52</v>
      </c>
      <c r="J57" s="1">
        <v>10</v>
      </c>
    </row>
    <row r="58" spans="1:10" x14ac:dyDescent="0.25">
      <c r="A58" s="1" t="s">
        <v>48</v>
      </c>
      <c r="B58" s="1" t="s">
        <v>54</v>
      </c>
      <c r="C58" s="2" t="s">
        <v>8</v>
      </c>
      <c r="D58" s="1">
        <f>D57</f>
        <v>10053.096491487338</v>
      </c>
    </row>
    <row r="59" spans="1:10" x14ac:dyDescent="0.2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25">
      <c r="A60" s="1" t="s">
        <v>48</v>
      </c>
      <c r="B60" s="1" t="s">
        <v>56</v>
      </c>
      <c r="C60" s="2" t="s">
        <v>23</v>
      </c>
      <c r="D60" s="1">
        <f>D57/100</f>
        <v>100.53096491487338</v>
      </c>
      <c r="E60" s="1" t="s">
        <v>25</v>
      </c>
      <c r="F60" s="1">
        <f>D57/1000</f>
        <v>10.053096491487338</v>
      </c>
    </row>
    <row r="61" spans="1:10" x14ac:dyDescent="0.25">
      <c r="A61" s="1" t="s">
        <v>49</v>
      </c>
      <c r="B61" s="1" t="s">
        <v>53</v>
      </c>
      <c r="C61" s="2" t="s">
        <v>44</v>
      </c>
      <c r="D61" s="1">
        <f>4*PI()*H61^2</f>
        <v>20106.192982974677</v>
      </c>
      <c r="E61" s="1" t="s">
        <v>45</v>
      </c>
      <c r="F61" s="1">
        <f>4/3*PI()*H61^3</f>
        <v>268082.57310632901</v>
      </c>
      <c r="G61" s="1" t="s">
        <v>46</v>
      </c>
      <c r="H61" s="1">
        <v>40</v>
      </c>
      <c r="I61" s="1" t="s">
        <v>52</v>
      </c>
      <c r="J61" s="1">
        <v>4</v>
      </c>
    </row>
    <row r="62" spans="1:10" x14ac:dyDescent="0.25">
      <c r="A62" s="1" t="s">
        <v>49</v>
      </c>
      <c r="B62" s="1" t="s">
        <v>54</v>
      </c>
      <c r="C62" s="2" t="s">
        <v>9</v>
      </c>
      <c r="D62" s="1">
        <f>D61</f>
        <v>20106.192982974677</v>
      </c>
    </row>
    <row r="63" spans="1:10" x14ac:dyDescent="0.25">
      <c r="A63" s="1" t="s">
        <v>49</v>
      </c>
      <c r="B63" s="1" t="s">
        <v>55</v>
      </c>
      <c r="C63" s="2" t="s">
        <v>30</v>
      </c>
      <c r="D63" s="1">
        <f>F61/10</f>
        <v>26808.2573106329</v>
      </c>
    </row>
    <row r="64" spans="1:10" x14ac:dyDescent="0.2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25">
      <c r="A65" s="1" t="s">
        <v>50</v>
      </c>
      <c r="B65" s="1" t="s">
        <v>53</v>
      </c>
      <c r="C65" s="2" t="s">
        <v>44</v>
      </c>
      <c r="D65" s="1">
        <f>D53</f>
        <v>5026.5482457436692</v>
      </c>
      <c r="E65" s="1" t="s">
        <v>45</v>
      </c>
      <c r="F65" s="1">
        <f>F53</f>
        <v>25132.741228718347</v>
      </c>
      <c r="G65" s="1" t="s">
        <v>46</v>
      </c>
      <c r="H65" s="1">
        <f>(F65*3/4/PI())^(1/3)</f>
        <v>18.171205928321388</v>
      </c>
      <c r="I65" s="1" t="s">
        <v>52</v>
      </c>
      <c r="J65" s="1">
        <v>10</v>
      </c>
    </row>
    <row r="66" spans="1:10" x14ac:dyDescent="0.25">
      <c r="A66" s="1" t="s">
        <v>50</v>
      </c>
      <c r="B66" s="1" t="s">
        <v>54</v>
      </c>
      <c r="C66" s="2" t="s">
        <v>10</v>
      </c>
      <c r="D66" s="1">
        <f>D65</f>
        <v>5026.5482457436692</v>
      </c>
    </row>
    <row r="67" spans="1:10" x14ac:dyDescent="0.2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25">
      <c r="A68" s="1" t="s">
        <v>50</v>
      </c>
      <c r="B68" s="1" t="s">
        <v>56</v>
      </c>
      <c r="C68" s="2" t="s">
        <v>25</v>
      </c>
      <c r="D68" s="1">
        <f>D66</f>
        <v>5026.5482457436692</v>
      </c>
    </row>
    <row r="69" spans="1:10" x14ac:dyDescent="0.25">
      <c r="A69" s="1" t="s">
        <v>64</v>
      </c>
      <c r="B69" s="1" t="s">
        <v>53</v>
      </c>
      <c r="C69" s="2" t="s">
        <v>44</v>
      </c>
      <c r="D69" s="1">
        <f>4*PI()*H69^2</f>
        <v>5026.5482457436692</v>
      </c>
      <c r="E69" s="1" t="s">
        <v>45</v>
      </c>
      <c r="F69" s="1">
        <f>4/3*PI()*H69^3</f>
        <v>33510.321638291127</v>
      </c>
      <c r="G69" s="1" t="s">
        <v>46</v>
      </c>
      <c r="H69" s="1">
        <v>20</v>
      </c>
      <c r="I69" s="1" t="s">
        <v>52</v>
      </c>
      <c r="J69" s="1">
        <v>1</v>
      </c>
    </row>
    <row r="70" spans="1:10" x14ac:dyDescent="0.25">
      <c r="A70" s="1" t="s">
        <v>64</v>
      </c>
      <c r="B70" s="1" t="s">
        <v>54</v>
      </c>
      <c r="C70" s="2" t="s">
        <v>6</v>
      </c>
      <c r="D70" s="1">
        <f>D69</f>
        <v>5026.5482457436692</v>
      </c>
    </row>
    <row r="71" spans="1:10" x14ac:dyDescent="0.25">
      <c r="A71" s="1" t="s">
        <v>64</v>
      </c>
      <c r="B71" s="1" t="s">
        <v>55</v>
      </c>
      <c r="C71" s="2" t="s">
        <v>27</v>
      </c>
      <c r="D71" s="1">
        <v>1000</v>
      </c>
      <c r="E71" s="1" t="s">
        <v>63</v>
      </c>
      <c r="F71" s="1">
        <v>1</v>
      </c>
    </row>
    <row r="72" spans="1:10" x14ac:dyDescent="0.25">
      <c r="A72" s="1" t="s">
        <v>64</v>
      </c>
      <c r="B72" s="1" t="s">
        <v>56</v>
      </c>
      <c r="C72" s="2" t="s">
        <v>23</v>
      </c>
      <c r="D72" s="1">
        <f>D69/100</f>
        <v>50.26548245743669</v>
      </c>
      <c r="E72" s="1" t="s">
        <v>35</v>
      </c>
      <c r="F72" s="1">
        <v>0</v>
      </c>
    </row>
    <row r="73" spans="1:10" x14ac:dyDescent="0.25">
      <c r="A73" s="1" t="s">
        <v>11</v>
      </c>
    </row>
    <row r="74" spans="1:10" x14ac:dyDescent="0.25">
      <c r="A74" s="1" t="s">
        <v>11</v>
      </c>
    </row>
    <row r="75" spans="1:10" x14ac:dyDescent="0.25">
      <c r="A75" s="1" t="s">
        <v>11</v>
      </c>
    </row>
    <row r="76" spans="1:10" x14ac:dyDescent="0.2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zoomScale="69" zoomScaleNormal="69" workbookViewId="0">
      <selection activeCell="A12" sqref="A12"/>
    </sheetView>
  </sheetViews>
  <sheetFormatPr baseColWidth="10" defaultRowHeight="15" x14ac:dyDescent="0.25"/>
  <cols>
    <col min="4" max="4" width="4.28515625" customWidth="1"/>
    <col min="8" max="8" width="4.5703125" customWidth="1"/>
  </cols>
  <sheetData>
    <row r="1" spans="1:12" x14ac:dyDescent="0.25">
      <c r="A1" t="s">
        <v>69</v>
      </c>
      <c r="I1" t="s">
        <v>67</v>
      </c>
      <c r="J1" t="s">
        <v>68</v>
      </c>
      <c r="K1" t="s">
        <v>75</v>
      </c>
    </row>
    <row r="2" spans="1:12" x14ac:dyDescent="0.25">
      <c r="A2" s="4" t="s">
        <v>6</v>
      </c>
      <c r="B2" s="5" t="s">
        <v>7</v>
      </c>
      <c r="C2" s="6" t="s">
        <v>9</v>
      </c>
      <c r="E2" s="4" t="s">
        <v>73</v>
      </c>
      <c r="F2" s="5" t="s">
        <v>27</v>
      </c>
      <c r="G2" s="6" t="s">
        <v>35</v>
      </c>
      <c r="I2" s="8">
        <v>0</v>
      </c>
      <c r="J2" s="8">
        <v>0</v>
      </c>
      <c r="K2" s="8">
        <v>10</v>
      </c>
    </row>
    <row r="3" spans="1:12" ht="15.75" x14ac:dyDescent="0.2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</row>
    <row r="4" spans="1:12" x14ac:dyDescent="0.2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>
        <v>10</v>
      </c>
    </row>
    <row r="5" spans="1:12" x14ac:dyDescent="0.2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2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2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25">
      <c r="E8" s="1" t="s">
        <v>29</v>
      </c>
      <c r="F8" s="1" t="s">
        <v>29</v>
      </c>
      <c r="G8" s="1" t="s">
        <v>29</v>
      </c>
    </row>
    <row r="9" spans="1:12" x14ac:dyDescent="0.25">
      <c r="E9" s="1" t="s">
        <v>30</v>
      </c>
      <c r="F9" s="1" t="s">
        <v>30</v>
      </c>
      <c r="G9" s="1" t="s">
        <v>30</v>
      </c>
    </row>
    <row r="10" spans="1:12" x14ac:dyDescent="0.2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25">
      <c r="E11" s="1" t="s">
        <v>73</v>
      </c>
      <c r="F11" s="1" t="s">
        <v>73</v>
      </c>
      <c r="G11" s="1" t="s">
        <v>73</v>
      </c>
      <c r="L11" s="1"/>
    </row>
    <row r="12" spans="1:12" x14ac:dyDescent="0.2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5" x14ac:dyDescent="0.25"/>
  <cols>
    <col min="1" max="1" width="22.42578125" style="1" customWidth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lmayorga</cp:lastModifiedBy>
  <dcterms:created xsi:type="dcterms:W3CDTF">2017-02-03T17:11:05Z</dcterms:created>
  <dcterms:modified xsi:type="dcterms:W3CDTF">2017-07-26T17:47:05Z</dcterms:modified>
</cp:coreProperties>
</file>
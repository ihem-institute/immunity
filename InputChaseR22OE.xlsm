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5" activeTab="2"/>
  </bookViews>
  <sheets>
    <sheet name="inicial" sheetId="1" r:id="rId1"/>
    <sheet name="pruebas" sheetId="4" r:id="rId2"/>
    <sheet name="controles" sheetId="3" r:id="rId3"/>
    <sheet name="Valores Usados" sheetId="2" r:id="rId4"/>
  </sheets>
  <calcPr calcId="152511"/>
</workbook>
</file>

<file path=xl/calcChain.xml><?xml version="1.0" encoding="utf-8"?>
<calcChain xmlns="http://schemas.openxmlformats.org/spreadsheetml/2006/main">
  <c r="D53" i="4" l="1"/>
  <c r="D53" i="1"/>
  <c r="D65" i="4" l="1"/>
  <c r="D61" i="4"/>
  <c r="D57" i="4"/>
  <c r="D65" i="1"/>
  <c r="D61" i="1"/>
  <c r="D57" i="1"/>
  <c r="D69" i="4" l="1"/>
  <c r="G2" i="4"/>
  <c r="D69" i="1" l="1"/>
  <c r="G2" i="1"/>
</calcChain>
</file>

<file path=xl/sharedStrings.xml><?xml version="1.0" encoding="utf-8"?>
<sst xmlns="http://schemas.openxmlformats.org/spreadsheetml/2006/main" count="651" uniqueCount="103">
  <si>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</si>
  <si>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</si>
  <si>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</si>
  <si>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</si>
  <si>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</si>
  <si>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</si>
  <si>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</si>
  <si>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</si>
  <si>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</si>
  <si>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</si>
  <si>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</si>
  <si>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</si>
  <si>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</si>
  <si>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</si>
  <si>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</si>
  <si>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</si>
  <si>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</si>
  <si>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</si>
  <si>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</si>
  <si>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</si>
  <si>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</si>
  <si>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</si>
  <si>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</si>
  <si>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</si>
  <si>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</si>
  <si>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</si>
  <si>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</si>
  <si>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</si>
  <si>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</si>
  <si>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</si>
  <si>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</si>
  <si>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</si>
  <si>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</si>
  <si>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</si>
  <si>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</si>
  <si>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</si>
  <si>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</si>
  <si>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</si>
  <si>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</si>
  <si>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</si>
  <si>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</si>
  <si>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</si>
  <si>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</si>
  <si>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</si>
  <si>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</si>
  <si>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</si>
  <si>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</si>
  <si>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</si>
  <si>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</si>
  <si>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</si>
  <si>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</si>
  <si>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</si>
  <si>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</si>
  <si>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</si>
  <si>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</si>
  <si>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</si>
  <si>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</si>
  <si>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</si>
  <si>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</si>
  <si>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</si>
  <si>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</si>
  <si>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</si>
  <si>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</si>
  <si>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</si>
  <si>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</si>
  <si>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</si>
  <si>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</si>
  <si>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</si>
  <si>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</si>
  <si>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</si>
  <si>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</si>
  <si>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</si>
  <si>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</si>
  <si>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</si>
  <si>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</si>
  <si>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</si>
  <si>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</si>
  <si>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timeScale</t>
  </si>
  <si>
    <t>RabARabE</t>
  </si>
  <si>
    <t>RabARabC</t>
  </si>
  <si>
    <t>RabBRabD</t>
  </si>
  <si>
    <t>RabBRabE</t>
  </si>
  <si>
    <t>RabCRabD</t>
  </si>
  <si>
    <t>RabDRabE</t>
  </si>
  <si>
    <t>vATPase</t>
  </si>
  <si>
    <t>cMHCI</t>
  </si>
  <si>
    <t>proton</t>
  </si>
  <si>
    <t>RabALevel</t>
  </si>
  <si>
    <t>RabBLevel</t>
  </si>
  <si>
    <t>RabCLevel</t>
  </si>
  <si>
    <t>RabDLevel</t>
  </si>
  <si>
    <t>RabELevel</t>
  </si>
  <si>
    <t>RabB10</t>
  </si>
  <si>
    <t>RabC10</t>
  </si>
  <si>
    <t>RabA10</t>
  </si>
  <si>
    <t>RabD10</t>
  </si>
  <si>
    <t>RabE10</t>
  </si>
  <si>
    <t>sph</t>
  </si>
  <si>
    <t>NOX</t>
  </si>
  <si>
    <t>RabA07</t>
  </si>
  <si>
    <t>membraneMarker</t>
  </si>
  <si>
    <t>RabA05</t>
  </si>
  <si>
    <t>p1-s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</si>
</sst>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  <xf numFmtId="2" fontId="0" fillId="36" borderId="0" xfId="0" applyNumberFormat="1" applyFill="1"/>
    <xf numFmtId="0" fontId="0" fillId="36" borderId="0" xfId="0" applyNumberFormat="1" applyFill="1"/>
    <xf numFmtId="2" fontId="0" fillId="37" borderId="0" xfId="0" applyNumberFormat="1" applyFill="1"/>
    <xf numFmtId="0" fontId="0" fillId="37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76"/>
  <sheetViews>
    <sheetView zoomScale="74" zoomScaleNormal="74" workbookViewId="0">
      <selection sqref="A1:AF75"/>
    </sheetView>
  </sheetViews>
  <sheetFormatPr baseColWidth="10" defaultRowHeight="14.25" x14ac:dyDescent="0.65"/>
  <cols>
    <col min="1" max="1" width="11.40625" style="1"/>
    <col min="2" max="2" width="23.7265625" style="1" customWidth="1"/>
    <col min="3" max="3" width="11.40625" style="2"/>
    <col min="4" max="5" width="11.40625" style="1"/>
    <col min="6" max="6" width="13.7265625" style="1" customWidth="1"/>
    <col min="7" max="15" width="11.40625" style="1"/>
  </cols>
  <sheetData>
    <row r="1" spans="1:31" x14ac:dyDescent="0.65">
      <c r="A1" s="1" t="s">
        <v>0</v>
      </c>
    </row>
    <row r="2" spans="1:31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77</v>
      </c>
      <c r="K2" s="1">
        <v>0.5</v>
      </c>
      <c r="L2" s="1" t="s">
        <v>71</v>
      </c>
      <c r="M2" s="1">
        <v>1</v>
      </c>
    </row>
    <row r="3" spans="1:31" x14ac:dyDescent="0.65">
      <c r="A3" s="1" t="s">
        <v>11</v>
      </c>
    </row>
    <row r="4" spans="1:31" x14ac:dyDescent="0.65">
      <c r="A4" s="1" t="s">
        <v>11</v>
      </c>
    </row>
    <row r="5" spans="1:31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1" x14ac:dyDescent="0.65">
      <c r="A6" s="1" t="s">
        <v>76</v>
      </c>
      <c r="B6" s="1" t="s">
        <v>29</v>
      </c>
      <c r="C6" s="1">
        <v>0</v>
      </c>
      <c r="D6" s="1" t="s">
        <v>28</v>
      </c>
      <c r="E6" s="1">
        <v>0</v>
      </c>
    </row>
    <row r="7" spans="1:31" x14ac:dyDescent="0.65">
      <c r="A7" s="1" t="s">
        <v>74</v>
      </c>
      <c r="B7" s="1" t="s">
        <v>23</v>
      </c>
      <c r="C7" s="2">
        <v>0</v>
      </c>
      <c r="D7" s="1" t="s">
        <v>84</v>
      </c>
      <c r="E7" s="2">
        <v>1</v>
      </c>
      <c r="F7" s="1" t="s">
        <v>85</v>
      </c>
      <c r="G7" s="2">
        <v>0.75</v>
      </c>
    </row>
    <row r="8" spans="1:31" x14ac:dyDescent="0.65">
      <c r="A8" s="1" t="s">
        <v>11</v>
      </c>
    </row>
    <row r="9" spans="1:31" x14ac:dyDescent="0.65">
      <c r="A9" s="1" t="s">
        <v>11</v>
      </c>
    </row>
    <row r="10" spans="1:31" x14ac:dyDescent="0.65">
      <c r="A10" s="1" t="s">
        <v>11</v>
      </c>
    </row>
    <row r="11" spans="1:31" x14ac:dyDescent="0.65">
      <c r="A11" s="1" t="s">
        <v>11</v>
      </c>
    </row>
    <row r="12" spans="1:31" x14ac:dyDescent="0.65">
      <c r="A12" s="1" t="s">
        <v>11</v>
      </c>
    </row>
    <row r="13" spans="1:31" x14ac:dyDescent="0.65">
      <c r="A13" s="1" t="s">
        <v>11</v>
      </c>
    </row>
    <row r="14" spans="1:31" x14ac:dyDescent="0.65">
      <c r="A14" s="1" t="s">
        <v>11</v>
      </c>
    </row>
    <row r="15" spans="1:31" x14ac:dyDescent="0.65">
      <c r="A15" s="1" t="s">
        <v>12</v>
      </c>
    </row>
    <row r="16" spans="1:31" s="8" customFormat="1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0.1</v>
      </c>
      <c r="J16" s="9" t="s">
        <v>18</v>
      </c>
      <c r="K16" s="10">
        <v>1</v>
      </c>
      <c r="L16" s="9" t="s">
        <v>19</v>
      </c>
      <c r="M16" s="10">
        <v>0.5</v>
      </c>
      <c r="N16" s="9" t="s">
        <v>79</v>
      </c>
      <c r="O16" s="10">
        <v>1E-4</v>
      </c>
      <c r="P16" s="9" t="s">
        <v>20</v>
      </c>
      <c r="Q16" s="10">
        <v>1E-3</v>
      </c>
      <c r="R16" s="9" t="s">
        <v>78</v>
      </c>
      <c r="S16" s="10">
        <v>1E-3</v>
      </c>
      <c r="T16" s="8" t="s">
        <v>65</v>
      </c>
      <c r="U16" s="8">
        <v>0.3</v>
      </c>
      <c r="V16" s="8" t="s">
        <v>80</v>
      </c>
      <c r="W16" s="8">
        <v>0.03</v>
      </c>
      <c r="X16" s="8" t="s">
        <v>81</v>
      </c>
      <c r="Y16" s="8">
        <v>0.01</v>
      </c>
      <c r="Z16" s="8" t="s">
        <v>82</v>
      </c>
      <c r="AA16" s="8">
        <v>1E-4</v>
      </c>
      <c r="AB16" s="8" t="s">
        <v>21</v>
      </c>
      <c r="AC16" s="8">
        <v>1E-4</v>
      </c>
      <c r="AD16" s="8" t="s">
        <v>83</v>
      </c>
      <c r="AE16" s="8">
        <v>1E-3</v>
      </c>
    </row>
    <row r="17" spans="1:15" x14ac:dyDescent="0.65">
      <c r="A17" s="1" t="s">
        <v>11</v>
      </c>
    </row>
    <row r="18" spans="1:15" x14ac:dyDescent="0.65">
      <c r="A18" s="1" t="s">
        <v>11</v>
      </c>
    </row>
    <row r="19" spans="1:15" x14ac:dyDescent="0.65">
      <c r="A19" s="1" t="s">
        <v>11</v>
      </c>
    </row>
    <row r="20" spans="1:15" x14ac:dyDescent="0.65">
      <c r="A20" s="1" t="s">
        <v>11</v>
      </c>
    </row>
    <row r="21" spans="1:15" x14ac:dyDescent="0.65">
      <c r="A21" s="1" t="s">
        <v>11</v>
      </c>
    </row>
    <row r="22" spans="1:15" x14ac:dyDescent="0.65">
      <c r="A22" s="1" t="s">
        <v>11</v>
      </c>
    </row>
    <row r="23" spans="1:15" x14ac:dyDescent="0.65">
      <c r="A23" s="1" t="s">
        <v>11</v>
      </c>
    </row>
    <row r="24" spans="1:15" x14ac:dyDescent="0.65">
      <c r="A24" s="1" t="s">
        <v>11</v>
      </c>
    </row>
    <row r="25" spans="1:15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100</v>
      </c>
      <c r="G25" s="1" t="s">
        <v>30</v>
      </c>
      <c r="H25" s="1" t="s">
        <v>85</v>
      </c>
      <c r="I25" s="1" t="s">
        <v>84</v>
      </c>
      <c r="J25" s="1" t="s">
        <v>98</v>
      </c>
    </row>
    <row r="26" spans="1:15" s="12" customFormat="1" x14ac:dyDescent="0.65">
      <c r="A26" s="11" t="s">
        <v>26</v>
      </c>
      <c r="B26" s="11" t="s">
        <v>27</v>
      </c>
      <c r="C26" s="11" t="s">
        <v>31</v>
      </c>
      <c r="D26" s="11" t="s">
        <v>63</v>
      </c>
      <c r="E26" s="11" t="s">
        <v>86</v>
      </c>
      <c r="F26" s="12" t="s">
        <v>102</v>
      </c>
      <c r="H26" s="11"/>
      <c r="I26" s="11"/>
      <c r="J26" s="11"/>
      <c r="K26" s="11"/>
      <c r="L26" s="11"/>
      <c r="M26" s="11"/>
      <c r="N26" s="11"/>
      <c r="O26" s="11"/>
    </row>
    <row r="27" spans="1:15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5" s="8" customFormat="1" x14ac:dyDescent="0.65">
      <c r="A28" s="9" t="s">
        <v>33</v>
      </c>
      <c r="B28" s="9" t="s">
        <v>6</v>
      </c>
      <c r="C28" s="10">
        <v>0.8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</row>
    <row r="29" spans="1:15" x14ac:dyDescent="0.65">
      <c r="A29" s="1" t="s">
        <v>34</v>
      </c>
      <c r="B29" s="1" t="s">
        <v>98</v>
      </c>
      <c r="C29" s="2" t="s">
        <v>94</v>
      </c>
    </row>
    <row r="30" spans="1:15" x14ac:dyDescent="0.65">
      <c r="A30" s="1" t="s">
        <v>34</v>
      </c>
      <c r="B30" s="1" t="s">
        <v>85</v>
      </c>
      <c r="C30" s="2" t="s">
        <v>101</v>
      </c>
      <c r="D30" s="1" t="s">
        <v>92</v>
      </c>
      <c r="E30" s="1" t="s">
        <v>93</v>
      </c>
    </row>
    <row r="31" spans="1:15" x14ac:dyDescent="0.65">
      <c r="A31" s="1" t="s">
        <v>34</v>
      </c>
      <c r="B31" s="1" t="s">
        <v>84</v>
      </c>
      <c r="C31" s="2" t="s">
        <v>99</v>
      </c>
      <c r="D31" s="1" t="s">
        <v>95</v>
      </c>
    </row>
    <row r="32" spans="1:15" s="8" customFormat="1" x14ac:dyDescent="0.65">
      <c r="A32" s="9" t="s">
        <v>34</v>
      </c>
      <c r="B32" s="9" t="s">
        <v>30</v>
      </c>
      <c r="C32" s="10"/>
      <c r="D32" s="9" t="s">
        <v>96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 s="8" customFormat="1" x14ac:dyDescent="0.65">
      <c r="A33" s="9" t="s">
        <v>34</v>
      </c>
      <c r="B33" s="9" t="s">
        <v>35</v>
      </c>
      <c r="C33" s="9" t="s">
        <v>92</v>
      </c>
      <c r="D33" s="1" t="s">
        <v>93</v>
      </c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 s="8" customFormat="1" x14ac:dyDescent="0.65">
      <c r="A34" s="9" t="s">
        <v>34</v>
      </c>
      <c r="B34" s="9" t="s">
        <v>31</v>
      </c>
      <c r="C34" s="10" t="s">
        <v>97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 s="8" customFormat="1" x14ac:dyDescent="0.65">
      <c r="A35" s="9" t="s">
        <v>34</v>
      </c>
      <c r="B35" s="9" t="s">
        <v>63</v>
      </c>
      <c r="C35" s="10" t="s">
        <v>97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 s="8" customFormat="1" x14ac:dyDescent="0.65">
      <c r="A36" s="9" t="s">
        <v>34</v>
      </c>
      <c r="B36" s="9" t="s">
        <v>23</v>
      </c>
      <c r="C36" s="10" t="s">
        <v>95</v>
      </c>
      <c r="D36" s="1" t="s">
        <v>92</v>
      </c>
      <c r="E36" s="1" t="s">
        <v>93</v>
      </c>
      <c r="F36" s="9" t="s">
        <v>101</v>
      </c>
      <c r="G36" s="9"/>
      <c r="H36" s="9"/>
      <c r="I36" s="9"/>
      <c r="J36" s="9"/>
      <c r="K36" s="9"/>
      <c r="L36" s="9"/>
      <c r="M36" s="9"/>
      <c r="N36" s="9"/>
      <c r="O36" s="9"/>
    </row>
    <row r="37" spans="1:15" s="8" customFormat="1" x14ac:dyDescent="0.65">
      <c r="A37" s="9" t="s">
        <v>34</v>
      </c>
      <c r="B37" s="9" t="s">
        <v>24</v>
      </c>
      <c r="C37" s="10" t="s">
        <v>101</v>
      </c>
      <c r="D37" s="1" t="s">
        <v>92</v>
      </c>
      <c r="E37" s="1" t="s">
        <v>93</v>
      </c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 s="8" customFormat="1" x14ac:dyDescent="0.65">
      <c r="A38" s="9" t="s">
        <v>34</v>
      </c>
      <c r="B38" s="9" t="s">
        <v>100</v>
      </c>
      <c r="C38" s="10"/>
      <c r="D38" s="1" t="s">
        <v>92</v>
      </c>
      <c r="E38" s="1" t="s">
        <v>93</v>
      </c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 s="8" customFormat="1" x14ac:dyDescent="0.65">
      <c r="A39" s="9" t="s">
        <v>34</v>
      </c>
      <c r="B39" s="9" t="s">
        <v>25</v>
      </c>
      <c r="C39" s="10"/>
      <c r="D39" s="9" t="s">
        <v>96</v>
      </c>
      <c r="E39" s="1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 s="8" customFormat="1" x14ac:dyDescent="0.65">
      <c r="A40" s="8" t="s">
        <v>34</v>
      </c>
      <c r="B40" s="9" t="s">
        <v>27</v>
      </c>
      <c r="C40" s="8" t="s">
        <v>97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 s="8" customFormat="1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0.5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</row>
    <row r="42" spans="1:15" s="8" customFormat="1" x14ac:dyDescent="0.65">
      <c r="A42" s="9" t="s">
        <v>72</v>
      </c>
      <c r="B42" s="9" t="s">
        <v>6</v>
      </c>
      <c r="C42" s="10">
        <v>0</v>
      </c>
      <c r="D42" s="9" t="s">
        <v>7</v>
      </c>
      <c r="E42" s="9">
        <v>0</v>
      </c>
      <c r="F42" s="9" t="s">
        <v>8</v>
      </c>
      <c r="G42" s="9">
        <v>0.3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</row>
    <row r="43" spans="1:15" x14ac:dyDescent="0.65">
      <c r="A43" s="1" t="s">
        <v>11</v>
      </c>
    </row>
    <row r="44" spans="1:15" x14ac:dyDescent="0.65">
      <c r="A44" s="1" t="s">
        <v>11</v>
      </c>
    </row>
    <row r="45" spans="1:15" x14ac:dyDescent="0.6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7</v>
      </c>
      <c r="F45" s="1" t="s">
        <v>62</v>
      </c>
      <c r="G45" s="1" t="s">
        <v>8</v>
      </c>
    </row>
    <row r="46" spans="1:15" x14ac:dyDescent="0.65">
      <c r="A46" s="1" t="s">
        <v>59</v>
      </c>
      <c r="B46" s="1" t="s">
        <v>60</v>
      </c>
      <c r="C46" s="2" t="s">
        <v>27</v>
      </c>
      <c r="D46" s="1" t="s">
        <v>61</v>
      </c>
      <c r="E46" s="1" t="s">
        <v>35</v>
      </c>
      <c r="F46" s="1" t="s">
        <v>62</v>
      </c>
      <c r="G46" s="1" t="s">
        <v>85</v>
      </c>
    </row>
    <row r="47" spans="1:15" x14ac:dyDescent="0.65">
      <c r="A47" s="1" t="s">
        <v>57</v>
      </c>
    </row>
    <row r="48" spans="1:15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v>100000</v>
      </c>
      <c r="E49" s="1" t="s">
        <v>45</v>
      </c>
      <c r="F49" s="1">
        <v>0</v>
      </c>
      <c r="G49" s="1" t="s">
        <v>46</v>
      </c>
      <c r="H49" s="1">
        <v>60</v>
      </c>
      <c r="I49" s="1" t="s">
        <v>52</v>
      </c>
      <c r="J49" s="1">
        <v>0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v>1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0</v>
      </c>
      <c r="E51" s="1" t="s">
        <v>86</v>
      </c>
      <c r="F51" s="1">
        <v>1E-4</v>
      </c>
    </row>
    <row r="52" spans="1:10" x14ac:dyDescent="0.65">
      <c r="A52" s="1" t="s">
        <v>43</v>
      </c>
      <c r="B52" s="1" t="s">
        <v>56</v>
      </c>
      <c r="C52" s="2" t="s">
        <v>85</v>
      </c>
      <c r="D52" s="1">
        <v>0.1</v>
      </c>
      <c r="E52" s="1" t="s">
        <v>35</v>
      </c>
      <c r="F52" s="1">
        <v>0</v>
      </c>
      <c r="G52" s="1" t="s">
        <v>84</v>
      </c>
      <c r="H52" s="1">
        <v>0.05</v>
      </c>
      <c r="I52" s="1" t="s">
        <v>98</v>
      </c>
      <c r="J52" s="1">
        <v>0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f>1300000*2</f>
        <v>2600000</v>
      </c>
      <c r="E53" s="1" t="s">
        <v>45</v>
      </c>
      <c r="F53" s="1">
        <v>0</v>
      </c>
      <c r="G53" s="1" t="s">
        <v>46</v>
      </c>
      <c r="H53" s="1">
        <v>70</v>
      </c>
      <c r="I53" s="1" t="s">
        <v>52</v>
      </c>
      <c r="J53" s="1">
        <v>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v>1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  <c r="E55" s="1" t="s">
        <v>86</v>
      </c>
      <c r="F55" s="1">
        <v>1E-4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  <c r="E56" s="1" t="s">
        <v>85</v>
      </c>
      <c r="F56" s="1">
        <v>0.1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f>1500000/2</f>
        <v>750000</v>
      </c>
      <c r="E57" s="1" t="s">
        <v>45</v>
      </c>
      <c r="F57" s="1">
        <v>0</v>
      </c>
      <c r="G57" s="1" t="s">
        <v>46</v>
      </c>
      <c r="H57" s="1">
        <v>100</v>
      </c>
      <c r="I57" s="1" t="s">
        <v>52</v>
      </c>
      <c r="J57" s="1">
        <v>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v>1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  <c r="E59" s="1" t="s">
        <v>86</v>
      </c>
      <c r="F59" s="1">
        <v>1E-4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85</v>
      </c>
      <c r="F60" s="1">
        <v>0.1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f>2500000/2</f>
        <v>1250000</v>
      </c>
      <c r="E61" s="1" t="s">
        <v>45</v>
      </c>
      <c r="F61" s="1">
        <v>0</v>
      </c>
      <c r="G61" s="1" t="s">
        <v>46</v>
      </c>
      <c r="H61" s="1">
        <v>250</v>
      </c>
      <c r="I61" s="1" t="s">
        <v>52</v>
      </c>
      <c r="J61" s="1">
        <v>0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v>1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  <c r="E63" s="1" t="s">
        <v>86</v>
      </c>
      <c r="F63" s="1">
        <v>1.5800000000000002E-2</v>
      </c>
    </row>
    <row r="64" spans="1:10" x14ac:dyDescent="0.65">
      <c r="A64" s="1" t="s">
        <v>49</v>
      </c>
      <c r="B64" s="1" t="s">
        <v>56</v>
      </c>
      <c r="C64" s="2" t="s">
        <v>84</v>
      </c>
      <c r="D64" s="1">
        <v>1</v>
      </c>
    </row>
    <row r="65" spans="1:12" x14ac:dyDescent="0.65">
      <c r="A65" s="1" t="s">
        <v>50</v>
      </c>
      <c r="B65" s="1" t="s">
        <v>53</v>
      </c>
      <c r="C65" s="2" t="s">
        <v>44</v>
      </c>
      <c r="D65" s="1">
        <f>1300000/2</f>
        <v>650000</v>
      </c>
      <c r="E65" s="1" t="s">
        <v>45</v>
      </c>
      <c r="F65" s="1">
        <v>0</v>
      </c>
      <c r="G65" s="1" t="s">
        <v>46</v>
      </c>
      <c r="H65" s="1">
        <v>60</v>
      </c>
      <c r="I65" s="1" t="s">
        <v>52</v>
      </c>
      <c r="J65" s="1">
        <v>0</v>
      </c>
    </row>
    <row r="66" spans="1:12" x14ac:dyDescent="0.65">
      <c r="A66" s="1" t="s">
        <v>50</v>
      </c>
      <c r="B66" s="1" t="s">
        <v>54</v>
      </c>
      <c r="C66" s="2" t="s">
        <v>10</v>
      </c>
      <c r="D66" s="1">
        <v>1</v>
      </c>
    </row>
    <row r="67" spans="1:12" x14ac:dyDescent="0.65">
      <c r="A67" s="1" t="s">
        <v>50</v>
      </c>
      <c r="B67" s="1" t="s">
        <v>55</v>
      </c>
      <c r="C67" s="2" t="s">
        <v>27</v>
      </c>
      <c r="D67" s="1">
        <v>0</v>
      </c>
      <c r="E67" s="1" t="s">
        <v>86</v>
      </c>
      <c r="F67" s="1">
        <v>1E-4</v>
      </c>
    </row>
    <row r="68" spans="1:12" x14ac:dyDescent="0.65">
      <c r="A68" s="1" t="s">
        <v>50</v>
      </c>
      <c r="B68" s="1" t="s">
        <v>56</v>
      </c>
      <c r="C68" s="2" t="s">
        <v>25</v>
      </c>
      <c r="D68" s="1">
        <v>1</v>
      </c>
      <c r="E68" s="2" t="s">
        <v>30</v>
      </c>
      <c r="F68" s="1">
        <v>0</v>
      </c>
    </row>
    <row r="69" spans="1:12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v>0</v>
      </c>
      <c r="G69" s="1" t="s">
        <v>46</v>
      </c>
      <c r="H69" s="1">
        <v>60</v>
      </c>
      <c r="I69" s="1" t="s">
        <v>52</v>
      </c>
      <c r="J69" s="1">
        <v>0</v>
      </c>
    </row>
    <row r="70" spans="1:12" x14ac:dyDescent="0.65">
      <c r="A70" s="1" t="s">
        <v>64</v>
      </c>
      <c r="B70" s="1" t="s">
        <v>54</v>
      </c>
      <c r="C70" s="2" t="s">
        <v>6</v>
      </c>
      <c r="D70" s="1">
        <v>1</v>
      </c>
    </row>
    <row r="71" spans="1:12" x14ac:dyDescent="0.65">
      <c r="A71" s="1" t="s">
        <v>64</v>
      </c>
      <c r="B71" s="1" t="s">
        <v>55</v>
      </c>
      <c r="C71" s="2" t="s">
        <v>27</v>
      </c>
      <c r="D71" s="1">
        <v>0</v>
      </c>
      <c r="E71" s="1" t="s">
        <v>63</v>
      </c>
      <c r="F71" s="1">
        <v>1</v>
      </c>
      <c r="G71" s="1" t="s">
        <v>86</v>
      </c>
      <c r="H71" s="1">
        <v>1E-4</v>
      </c>
    </row>
    <row r="72" spans="1:12" x14ac:dyDescent="0.65">
      <c r="A72" s="1" t="s">
        <v>64</v>
      </c>
      <c r="B72" s="1" t="s">
        <v>56</v>
      </c>
      <c r="C72" s="2" t="s">
        <v>85</v>
      </c>
      <c r="D72" s="1">
        <v>0.1</v>
      </c>
      <c r="E72" s="1" t="s">
        <v>35</v>
      </c>
      <c r="F72" s="1">
        <v>0</v>
      </c>
      <c r="G72" s="1" t="s">
        <v>84</v>
      </c>
      <c r="H72" s="1">
        <v>0.05</v>
      </c>
      <c r="I72" s="1" t="s">
        <v>98</v>
      </c>
      <c r="J72" s="1">
        <v>0</v>
      </c>
      <c r="K72" s="1" t="s">
        <v>100</v>
      </c>
      <c r="L72" s="1">
        <v>1</v>
      </c>
    </row>
    <row r="73" spans="1:12" x14ac:dyDescent="0.65">
      <c r="A73" s="1" t="s">
        <v>11</v>
      </c>
    </row>
    <row r="74" spans="1:12" x14ac:dyDescent="0.65">
      <c r="A74" s="1" t="s">
        <v>11</v>
      </c>
    </row>
    <row r="75" spans="1:12" x14ac:dyDescent="0.65">
      <c r="A75" s="1" t="s">
        <v>11</v>
      </c>
    </row>
    <row r="76" spans="1:12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M76"/>
  <sheetViews>
    <sheetView zoomScale="79" zoomScaleNormal="79" workbookViewId="0">
      <selection sqref="A1:AF75"/>
    </sheetView>
  </sheetViews>
  <sheetFormatPr baseColWidth="10" defaultRowHeight="14.25" x14ac:dyDescent="0.65"/>
  <cols>
    <col min="1" max="1" width="10.90625" style="1"/>
    <col min="2" max="2" width="23.7265625" style="1" customWidth="1"/>
    <col min="3" max="3" width="10.90625" style="2"/>
    <col min="4" max="5" width="10.90625" style="1"/>
    <col min="6" max="6" width="13.7265625" style="1" customWidth="1"/>
    <col min="7" max="15" width="10.90625" style="1"/>
  </cols>
  <sheetData>
    <row r="1" spans="1:65" x14ac:dyDescent="0.65">
      <c r="A1" s="1" t="s">
        <v>0</v>
      </c>
    </row>
    <row r="2" spans="1:65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77</v>
      </c>
      <c r="K2" s="1">
        <v>0.5</v>
      </c>
      <c r="L2" s="1" t="s">
        <v>71</v>
      </c>
      <c r="M2" s="1">
        <v>1</v>
      </c>
    </row>
    <row r="3" spans="1:65" x14ac:dyDescent="0.65">
      <c r="A3" s="1" t="s">
        <v>11</v>
      </c>
    </row>
    <row r="4" spans="1:65" x14ac:dyDescent="0.65">
      <c r="A4" s="1" t="s">
        <v>11</v>
      </c>
    </row>
    <row r="5" spans="1:65" x14ac:dyDescent="0.65">
      <c r="A5" s="1" t="s">
        <v>5</v>
      </c>
      <c r="B5" s="1" t="s">
        <v>6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65" x14ac:dyDescent="0.65">
      <c r="A6" s="1" t="s">
        <v>76</v>
      </c>
      <c r="B6" s="1" t="s">
        <v>29</v>
      </c>
      <c r="C6" s="1">
        <v>0</v>
      </c>
      <c r="D6" s="1" t="s">
        <v>28</v>
      </c>
      <c r="E6" s="1">
        <v>0</v>
      </c>
    </row>
    <row r="7" spans="1:65" x14ac:dyDescent="0.65">
      <c r="A7" s="1" t="s">
        <v>74</v>
      </c>
      <c r="B7" s="1" t="s">
        <v>23</v>
      </c>
      <c r="C7" s="2">
        <v>0</v>
      </c>
      <c r="D7" s="1" t="s">
        <v>84</v>
      </c>
      <c r="E7" s="2">
        <v>1</v>
      </c>
      <c r="F7" s="1" t="s">
        <v>85</v>
      </c>
      <c r="G7" s="2">
        <v>0.75</v>
      </c>
    </row>
    <row r="8" spans="1:65" x14ac:dyDescent="0.65">
      <c r="A8" s="1" t="s">
        <v>11</v>
      </c>
    </row>
    <row r="9" spans="1:65" x14ac:dyDescent="0.65">
      <c r="A9" s="1" t="s">
        <v>11</v>
      </c>
    </row>
    <row r="10" spans="1:65" x14ac:dyDescent="0.65">
      <c r="A10" s="1" t="s">
        <v>11</v>
      </c>
    </row>
    <row r="11" spans="1:65" x14ac:dyDescent="0.65">
      <c r="A11" s="1" t="s">
        <v>11</v>
      </c>
    </row>
    <row r="12" spans="1:65" x14ac:dyDescent="0.65">
      <c r="A12" s="1" t="s">
        <v>11</v>
      </c>
    </row>
    <row r="13" spans="1:65" x14ac:dyDescent="0.65">
      <c r="A13" s="1" t="s">
        <v>11</v>
      </c>
    </row>
    <row r="14" spans="1:65" x14ac:dyDescent="0.65">
      <c r="A14" s="1" t="s">
        <v>11</v>
      </c>
    </row>
    <row r="15" spans="1:65" x14ac:dyDescent="0.65">
      <c r="A15" s="1" t="s">
        <v>12</v>
      </c>
    </row>
    <row r="16" spans="1:65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0.1</v>
      </c>
      <c r="J16" s="9" t="s">
        <v>18</v>
      </c>
      <c r="K16" s="10">
        <v>1</v>
      </c>
      <c r="L16" s="9" t="s">
        <v>19</v>
      </c>
      <c r="M16" s="10">
        <v>0.5</v>
      </c>
      <c r="N16" s="9" t="s">
        <v>79</v>
      </c>
      <c r="O16" s="10">
        <v>1E-4</v>
      </c>
      <c r="P16" s="9" t="s">
        <v>20</v>
      </c>
      <c r="Q16" s="10">
        <v>1E-3</v>
      </c>
      <c r="R16" s="9" t="s">
        <v>78</v>
      </c>
      <c r="S16" s="10">
        <v>1E-3</v>
      </c>
      <c r="T16" s="8" t="s">
        <v>65</v>
      </c>
      <c r="U16" s="8">
        <v>0.3</v>
      </c>
      <c r="V16" s="8" t="s">
        <v>80</v>
      </c>
      <c r="W16" s="8">
        <v>0.03</v>
      </c>
      <c r="X16" s="8" t="s">
        <v>81</v>
      </c>
      <c r="Y16" s="8">
        <v>0.01</v>
      </c>
      <c r="Z16" s="8" t="s">
        <v>82</v>
      </c>
      <c r="AA16" s="8">
        <v>1E-4</v>
      </c>
      <c r="AB16" s="8" t="s">
        <v>21</v>
      </c>
      <c r="AC16" s="8">
        <v>1E-4</v>
      </c>
      <c r="AD16" s="8" t="s">
        <v>83</v>
      </c>
      <c r="AE16" s="8">
        <v>1E-3</v>
      </c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</row>
    <row r="17" spans="1:65" x14ac:dyDescent="0.65">
      <c r="A17" s="1" t="s">
        <v>11</v>
      </c>
    </row>
    <row r="18" spans="1:65" x14ac:dyDescent="0.65">
      <c r="A18" s="1" t="s">
        <v>11</v>
      </c>
    </row>
    <row r="19" spans="1:65" x14ac:dyDescent="0.65">
      <c r="A19" s="1" t="s">
        <v>11</v>
      </c>
    </row>
    <row r="20" spans="1:65" x14ac:dyDescent="0.65">
      <c r="A20" s="1" t="s">
        <v>11</v>
      </c>
    </row>
    <row r="21" spans="1:65" x14ac:dyDescent="0.65">
      <c r="A21" s="1" t="s">
        <v>11</v>
      </c>
    </row>
    <row r="22" spans="1:65" x14ac:dyDescent="0.65">
      <c r="A22" s="1" t="s">
        <v>11</v>
      </c>
    </row>
    <row r="23" spans="1:65" x14ac:dyDescent="0.65">
      <c r="A23" s="1" t="s">
        <v>11</v>
      </c>
    </row>
    <row r="24" spans="1:65" x14ac:dyDescent="0.65">
      <c r="A24" s="1" t="s">
        <v>11</v>
      </c>
    </row>
    <row r="25" spans="1:65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100</v>
      </c>
      <c r="G25" s="1" t="s">
        <v>30</v>
      </c>
      <c r="H25" s="1" t="s">
        <v>85</v>
      </c>
      <c r="I25" s="1" t="s">
        <v>84</v>
      </c>
      <c r="J25" s="1" t="s">
        <v>98</v>
      </c>
    </row>
    <row r="26" spans="1:65" x14ac:dyDescent="0.65">
      <c r="A26" s="11" t="s">
        <v>26</v>
      </c>
      <c r="B26" s="11" t="s">
        <v>27</v>
      </c>
      <c r="C26" s="11" t="s">
        <v>31</v>
      </c>
      <c r="D26" s="11" t="s">
        <v>63</v>
      </c>
      <c r="E26" s="11" t="s">
        <v>86</v>
      </c>
      <c r="F26" s="12" t="s">
        <v>102</v>
      </c>
      <c r="G26" s="12"/>
      <c r="H26" s="11"/>
      <c r="I26" s="11"/>
      <c r="J26" s="11"/>
      <c r="K26" s="11"/>
      <c r="L26" s="11"/>
      <c r="M26" s="11"/>
      <c r="N26" s="11"/>
      <c r="O26" s="11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</row>
    <row r="27" spans="1:65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65" x14ac:dyDescent="0.65">
      <c r="A28" s="9" t="s">
        <v>33</v>
      </c>
      <c r="B28" s="9" t="s">
        <v>6</v>
      </c>
      <c r="C28" s="10">
        <v>0.8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</row>
    <row r="29" spans="1:65" x14ac:dyDescent="0.65">
      <c r="A29" s="1" t="s">
        <v>34</v>
      </c>
      <c r="B29" s="1" t="s">
        <v>98</v>
      </c>
      <c r="C29" s="2" t="s">
        <v>94</v>
      </c>
    </row>
    <row r="30" spans="1:65" x14ac:dyDescent="0.65">
      <c r="A30" s="1" t="s">
        <v>34</v>
      </c>
      <c r="B30" s="1" t="s">
        <v>85</v>
      </c>
      <c r="C30" s="2" t="s">
        <v>101</v>
      </c>
      <c r="D30" s="1" t="s">
        <v>92</v>
      </c>
      <c r="E30" s="1" t="s">
        <v>93</v>
      </c>
    </row>
    <row r="31" spans="1:65" x14ac:dyDescent="0.65">
      <c r="A31" s="1" t="s">
        <v>34</v>
      </c>
      <c r="B31" s="1" t="s">
        <v>84</v>
      </c>
      <c r="C31" s="2" t="s">
        <v>99</v>
      </c>
      <c r="D31" s="1" t="s">
        <v>95</v>
      </c>
    </row>
    <row r="32" spans="1:65" x14ac:dyDescent="0.65">
      <c r="A32" s="9" t="s">
        <v>34</v>
      </c>
      <c r="B32" s="9" t="s">
        <v>30</v>
      </c>
      <c r="C32" s="10"/>
      <c r="D32" s="9" t="s">
        <v>96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</row>
    <row r="33" spans="1:65" x14ac:dyDescent="0.65">
      <c r="A33" s="9" t="s">
        <v>34</v>
      </c>
      <c r="B33" s="9" t="s">
        <v>35</v>
      </c>
      <c r="C33" s="10" t="s">
        <v>92</v>
      </c>
      <c r="D33" s="9" t="s">
        <v>93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</row>
    <row r="34" spans="1:65" x14ac:dyDescent="0.65">
      <c r="A34" s="9" t="s">
        <v>34</v>
      </c>
      <c r="B34" s="9" t="s">
        <v>31</v>
      </c>
      <c r="C34" s="10" t="s">
        <v>97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</row>
    <row r="35" spans="1:65" x14ac:dyDescent="0.65">
      <c r="A35" s="9" t="s">
        <v>34</v>
      </c>
      <c r="B35" s="9" t="s">
        <v>63</v>
      </c>
      <c r="C35" s="10" t="s">
        <v>97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</row>
    <row r="36" spans="1:65" x14ac:dyDescent="0.65">
      <c r="A36" s="9" t="s">
        <v>34</v>
      </c>
      <c r="B36" s="9" t="s">
        <v>23</v>
      </c>
      <c r="C36" s="10" t="s">
        <v>95</v>
      </c>
      <c r="D36" s="1" t="s">
        <v>92</v>
      </c>
      <c r="E36" s="1" t="s">
        <v>93</v>
      </c>
      <c r="F36" s="9" t="s">
        <v>101</v>
      </c>
      <c r="G36" s="9"/>
      <c r="H36" s="9"/>
      <c r="I36" s="9"/>
      <c r="J36" s="9"/>
      <c r="K36" s="9"/>
      <c r="L36" s="9"/>
      <c r="M36" s="9"/>
      <c r="N36" s="9"/>
      <c r="O36" s="9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</row>
    <row r="37" spans="1:65" x14ac:dyDescent="0.65">
      <c r="A37" s="9" t="s">
        <v>34</v>
      </c>
      <c r="B37" s="9" t="s">
        <v>24</v>
      </c>
      <c r="C37" s="10" t="s">
        <v>101</v>
      </c>
      <c r="D37" s="1" t="s">
        <v>92</v>
      </c>
      <c r="E37" s="1" t="s">
        <v>93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</row>
    <row r="38" spans="1:65" x14ac:dyDescent="0.65">
      <c r="A38" s="9" t="s">
        <v>34</v>
      </c>
      <c r="B38" s="9" t="s">
        <v>100</v>
      </c>
      <c r="C38" s="10"/>
      <c r="D38" s="1" t="s">
        <v>92</v>
      </c>
      <c r="E38" s="1" t="s">
        <v>93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</row>
    <row r="39" spans="1:65" x14ac:dyDescent="0.65">
      <c r="A39" s="9" t="s">
        <v>34</v>
      </c>
      <c r="B39" s="9" t="s">
        <v>25</v>
      </c>
      <c r="C39" s="10"/>
      <c r="D39" s="9" t="s">
        <v>96</v>
      </c>
      <c r="F39" s="9"/>
      <c r="G39" s="9"/>
      <c r="H39" s="9"/>
      <c r="I39" s="9"/>
      <c r="J39" s="9"/>
      <c r="K39" s="9"/>
      <c r="L39" s="9"/>
      <c r="M39" s="9"/>
      <c r="N39" s="9"/>
      <c r="O39" s="9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</row>
    <row r="40" spans="1:65" x14ac:dyDescent="0.65">
      <c r="A40" s="8" t="s">
        <v>34</v>
      </c>
      <c r="B40" s="9" t="s">
        <v>27</v>
      </c>
      <c r="C40" s="8" t="s">
        <v>97</v>
      </c>
      <c r="D40" s="8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</row>
    <row r="41" spans="1:65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0.5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</row>
    <row r="42" spans="1:65" x14ac:dyDescent="0.65">
      <c r="A42" s="9" t="s">
        <v>72</v>
      </c>
      <c r="B42" s="9" t="s">
        <v>6</v>
      </c>
      <c r="C42" s="10">
        <v>0</v>
      </c>
      <c r="D42" s="9" t="s">
        <v>7</v>
      </c>
      <c r="E42" s="9">
        <v>0</v>
      </c>
      <c r="F42" s="9" t="s">
        <v>8</v>
      </c>
      <c r="G42" s="9">
        <v>0.3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</row>
    <row r="43" spans="1:65" x14ac:dyDescent="0.65">
      <c r="A43" s="1" t="s">
        <v>11</v>
      </c>
    </row>
    <row r="44" spans="1:65" x14ac:dyDescent="0.65">
      <c r="A44" s="1" t="s">
        <v>11</v>
      </c>
    </row>
    <row r="45" spans="1:65" x14ac:dyDescent="0.6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7</v>
      </c>
      <c r="F45" s="1" t="s">
        <v>62</v>
      </c>
      <c r="G45" s="1" t="s">
        <v>8</v>
      </c>
    </row>
    <row r="46" spans="1:65" x14ac:dyDescent="0.65">
      <c r="A46" s="1" t="s">
        <v>59</v>
      </c>
      <c r="B46" s="1" t="s">
        <v>60</v>
      </c>
      <c r="C46" s="2" t="s">
        <v>27</v>
      </c>
      <c r="D46" s="1" t="s">
        <v>61</v>
      </c>
      <c r="E46" s="1" t="s">
        <v>35</v>
      </c>
      <c r="F46" s="1" t="s">
        <v>62</v>
      </c>
      <c r="G46" s="1" t="s">
        <v>30</v>
      </c>
    </row>
    <row r="47" spans="1:65" x14ac:dyDescent="0.65">
      <c r="A47" s="1" t="s">
        <v>57</v>
      </c>
    </row>
    <row r="48" spans="1:65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v>100000</v>
      </c>
      <c r="E49" s="1" t="s">
        <v>45</v>
      </c>
      <c r="F49" s="1">
        <v>0</v>
      </c>
      <c r="G49" s="1" t="s">
        <v>46</v>
      </c>
      <c r="H49" s="1">
        <v>60</v>
      </c>
      <c r="I49" s="1" t="s">
        <v>52</v>
      </c>
      <c r="J49" s="1">
        <v>0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v>1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0</v>
      </c>
      <c r="E51" s="1" t="s">
        <v>86</v>
      </c>
      <c r="F51" s="1">
        <v>1E-4</v>
      </c>
    </row>
    <row r="52" spans="1:10" x14ac:dyDescent="0.65">
      <c r="A52" s="1" t="s">
        <v>43</v>
      </c>
      <c r="B52" s="1" t="s">
        <v>56</v>
      </c>
      <c r="C52" s="2" t="s">
        <v>85</v>
      </c>
      <c r="D52" s="1">
        <v>0.1</v>
      </c>
      <c r="E52" s="1" t="s">
        <v>35</v>
      </c>
      <c r="F52" s="1">
        <v>0</v>
      </c>
      <c r="G52" s="1" t="s">
        <v>84</v>
      </c>
      <c r="H52" s="1">
        <v>0.05</v>
      </c>
      <c r="I52" s="1" t="s">
        <v>98</v>
      </c>
      <c r="J52" s="1">
        <v>0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f>1300000*2</f>
        <v>2600000</v>
      </c>
      <c r="E53" s="1" t="s">
        <v>45</v>
      </c>
      <c r="F53" s="1">
        <v>0</v>
      </c>
      <c r="G53" s="1" t="s">
        <v>46</v>
      </c>
      <c r="H53" s="1">
        <v>70</v>
      </c>
      <c r="I53" s="1" t="s">
        <v>52</v>
      </c>
      <c r="J53" s="1">
        <v>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v>1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  <c r="E55" s="1" t="s">
        <v>86</v>
      </c>
      <c r="F55" s="1">
        <v>1E-4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  <c r="E56" s="1" t="s">
        <v>85</v>
      </c>
      <c r="F56" s="1">
        <v>0.1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f>1500000/2</f>
        <v>750000</v>
      </c>
      <c r="E57" s="1" t="s">
        <v>45</v>
      </c>
      <c r="F57" s="1">
        <v>0</v>
      </c>
      <c r="G57" s="1" t="s">
        <v>46</v>
      </c>
      <c r="H57" s="1">
        <v>100</v>
      </c>
      <c r="I57" s="1" t="s">
        <v>52</v>
      </c>
      <c r="J57" s="1">
        <v>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v>1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  <c r="E59" s="1" t="s">
        <v>86</v>
      </c>
      <c r="F59" s="1">
        <v>1E-4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85</v>
      </c>
      <c r="F60" s="1">
        <v>0.1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f>2500000/2</f>
        <v>1250000</v>
      </c>
      <c r="E61" s="1" t="s">
        <v>45</v>
      </c>
      <c r="F61" s="1">
        <v>0</v>
      </c>
      <c r="G61" s="1" t="s">
        <v>46</v>
      </c>
      <c r="H61" s="1">
        <v>250</v>
      </c>
      <c r="I61" s="1" t="s">
        <v>52</v>
      </c>
      <c r="J61" s="1">
        <v>0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v>1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  <c r="E63" s="1" t="s">
        <v>86</v>
      </c>
      <c r="F63" s="1">
        <v>1.5800000000000002E-2</v>
      </c>
    </row>
    <row r="64" spans="1:10" x14ac:dyDescent="0.65">
      <c r="A64" s="1" t="s">
        <v>49</v>
      </c>
      <c r="B64" s="1" t="s">
        <v>56</v>
      </c>
      <c r="C64" s="2" t="s">
        <v>84</v>
      </c>
      <c r="D64" s="1">
        <v>1</v>
      </c>
    </row>
    <row r="65" spans="1:12" x14ac:dyDescent="0.65">
      <c r="A65" s="1" t="s">
        <v>50</v>
      </c>
      <c r="B65" s="1" t="s">
        <v>53</v>
      </c>
      <c r="C65" s="2" t="s">
        <v>44</v>
      </c>
      <c r="D65" s="1">
        <f>1300000/2</f>
        <v>650000</v>
      </c>
      <c r="E65" s="1" t="s">
        <v>45</v>
      </c>
      <c r="F65" s="1">
        <v>0</v>
      </c>
      <c r="G65" s="1" t="s">
        <v>46</v>
      </c>
      <c r="H65" s="1">
        <v>60</v>
      </c>
      <c r="I65" s="1" t="s">
        <v>52</v>
      </c>
      <c r="J65" s="1">
        <v>0</v>
      </c>
    </row>
    <row r="66" spans="1:12" x14ac:dyDescent="0.65">
      <c r="A66" s="1" t="s">
        <v>50</v>
      </c>
      <c r="B66" s="1" t="s">
        <v>54</v>
      </c>
      <c r="C66" s="2" t="s">
        <v>10</v>
      </c>
      <c r="D66" s="1">
        <v>1</v>
      </c>
    </row>
    <row r="67" spans="1:12" x14ac:dyDescent="0.65">
      <c r="A67" s="1" t="s">
        <v>50</v>
      </c>
      <c r="B67" s="1" t="s">
        <v>55</v>
      </c>
      <c r="C67" s="2" t="s">
        <v>27</v>
      </c>
      <c r="D67" s="1">
        <v>0</v>
      </c>
      <c r="E67" s="1" t="s">
        <v>86</v>
      </c>
      <c r="F67" s="1">
        <v>1E-4</v>
      </c>
    </row>
    <row r="68" spans="1:12" x14ac:dyDescent="0.65">
      <c r="A68" s="1" t="s">
        <v>50</v>
      </c>
      <c r="B68" s="1" t="s">
        <v>56</v>
      </c>
      <c r="C68" s="2" t="s">
        <v>25</v>
      </c>
      <c r="D68" s="1">
        <v>1</v>
      </c>
      <c r="E68" s="2" t="s">
        <v>30</v>
      </c>
      <c r="F68" s="1">
        <v>1</v>
      </c>
    </row>
    <row r="69" spans="1:12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v>0</v>
      </c>
      <c r="G69" s="1" t="s">
        <v>46</v>
      </c>
      <c r="H69" s="1">
        <v>60</v>
      </c>
      <c r="I69" s="1" t="s">
        <v>52</v>
      </c>
      <c r="J69" s="1">
        <v>0</v>
      </c>
    </row>
    <row r="70" spans="1:12" x14ac:dyDescent="0.65">
      <c r="A70" s="1" t="s">
        <v>64</v>
      </c>
      <c r="B70" s="1" t="s">
        <v>54</v>
      </c>
      <c r="C70" s="2" t="s">
        <v>6</v>
      </c>
      <c r="D70" s="1">
        <v>1</v>
      </c>
    </row>
    <row r="71" spans="1:12" x14ac:dyDescent="0.65">
      <c r="A71" s="1" t="s">
        <v>64</v>
      </c>
      <c r="B71" s="1" t="s">
        <v>55</v>
      </c>
      <c r="C71" s="2" t="s">
        <v>27</v>
      </c>
      <c r="D71" s="1">
        <v>1</v>
      </c>
      <c r="E71" s="1" t="s">
        <v>63</v>
      </c>
      <c r="F71" s="1">
        <v>1</v>
      </c>
      <c r="G71" s="1" t="s">
        <v>86</v>
      </c>
      <c r="H71" s="1">
        <v>1E-4</v>
      </c>
    </row>
    <row r="72" spans="1:12" x14ac:dyDescent="0.65">
      <c r="A72" s="1" t="s">
        <v>64</v>
      </c>
      <c r="B72" s="1" t="s">
        <v>56</v>
      </c>
      <c r="C72" s="2" t="s">
        <v>85</v>
      </c>
      <c r="D72" s="1">
        <v>0.1</v>
      </c>
      <c r="E72" s="1" t="s">
        <v>35</v>
      </c>
      <c r="F72" s="1">
        <v>0.8</v>
      </c>
      <c r="G72" s="1" t="s">
        <v>84</v>
      </c>
      <c r="H72" s="1">
        <v>0.05</v>
      </c>
      <c r="I72" s="1" t="s">
        <v>98</v>
      </c>
      <c r="J72" s="1">
        <v>0</v>
      </c>
      <c r="K72" s="1" t="s">
        <v>100</v>
      </c>
      <c r="L72" s="1">
        <v>1</v>
      </c>
    </row>
    <row r="73" spans="1:12" x14ac:dyDescent="0.65">
      <c r="A73" s="1" t="s">
        <v>11</v>
      </c>
    </row>
    <row r="74" spans="1:12" x14ac:dyDescent="0.65">
      <c r="A74" s="1" t="s">
        <v>11</v>
      </c>
    </row>
    <row r="75" spans="1:12" x14ac:dyDescent="0.65">
      <c r="A75" s="1" t="s">
        <v>11</v>
      </c>
    </row>
    <row r="76" spans="1:12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E15"/>
  <sheetViews>
    <sheetView tabSelected="1" zoomScale="83" zoomScaleNormal="83" workbookViewId="0">
      <selection activeCell="M8" sqref="M8"/>
    </sheetView>
  </sheetViews>
  <sheetFormatPr baseColWidth="10" defaultRowHeight="14.25" x14ac:dyDescent="0.65"/>
  <cols>
    <col min="4" max="4" width="4.26953125" customWidth="1"/>
    <col min="8" max="8" width="4.54296875" customWidth="1"/>
  </cols>
  <sheetData>
    <row r="1" spans="1:31" x14ac:dyDescent="0.65">
      <c r="A1" t="s">
        <v>69</v>
      </c>
      <c r="I1" t="s">
        <v>67</v>
      </c>
      <c r="J1" t="s">
        <v>68</v>
      </c>
      <c r="K1" t="s">
        <v>75</v>
      </c>
      <c r="M1" t="s">
        <v>87</v>
      </c>
      <c r="N1" t="s">
        <v>88</v>
      </c>
      <c r="O1" t="s">
        <v>89</v>
      </c>
      <c r="P1" t="s">
        <v>90</v>
      </c>
      <c r="Q1" t="s">
        <v>91</v>
      </c>
    </row>
    <row r="2" spans="1:31" x14ac:dyDescent="0.65">
      <c r="A2" s="4" t="s">
        <v>6</v>
      </c>
      <c r="B2" s="5" t="s">
        <v>7</v>
      </c>
      <c r="C2" s="6" t="s">
        <v>8</v>
      </c>
      <c r="E2" s="4" t="s">
        <v>27</v>
      </c>
      <c r="F2" s="5" t="s">
        <v>35</v>
      </c>
      <c r="G2" s="6" t="s">
        <v>30</v>
      </c>
      <c r="I2" s="8">
        <v>0.01</v>
      </c>
      <c r="J2" s="8">
        <v>1</v>
      </c>
      <c r="K2" s="8">
        <v>1</v>
      </c>
      <c r="N2">
        <v>1</v>
      </c>
      <c r="O2">
        <v>1</v>
      </c>
      <c r="P2">
        <v>1</v>
      </c>
      <c r="Q2">
        <v>1</v>
      </c>
    </row>
    <row r="3" spans="1:31" ht="15.5" x14ac:dyDescent="0.7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0.01</v>
      </c>
      <c r="J3">
        <v>0</v>
      </c>
      <c r="K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31" x14ac:dyDescent="0.6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0.8</v>
      </c>
      <c r="J4" s="7">
        <v>1</v>
      </c>
      <c r="K4" s="7">
        <v>1</v>
      </c>
      <c r="M4">
        <v>1</v>
      </c>
      <c r="N4">
        <v>1</v>
      </c>
      <c r="O4">
        <v>1</v>
      </c>
      <c r="P4">
        <v>1</v>
      </c>
      <c r="Q4">
        <v>1</v>
      </c>
    </row>
    <row r="5" spans="1:31" x14ac:dyDescent="0.6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30</v>
      </c>
      <c r="M5">
        <v>0.1</v>
      </c>
      <c r="N5">
        <v>0.1</v>
      </c>
      <c r="O5">
        <v>0.1</v>
      </c>
      <c r="P5">
        <v>0.1</v>
      </c>
      <c r="Q5">
        <v>0.1</v>
      </c>
    </row>
    <row r="6" spans="1:31" x14ac:dyDescent="0.6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31" x14ac:dyDescent="0.6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31" x14ac:dyDescent="0.65">
      <c r="E8" s="1" t="s">
        <v>85</v>
      </c>
      <c r="F8" s="1" t="s">
        <v>85</v>
      </c>
      <c r="G8" s="1" t="s">
        <v>85</v>
      </c>
    </row>
    <row r="9" spans="1:31" ht="3" customHeight="1" x14ac:dyDescent="0.65">
      <c r="E9" s="1" t="s">
        <v>30</v>
      </c>
      <c r="F9" s="1" t="s">
        <v>30</v>
      </c>
      <c r="G9" s="1" t="s">
        <v>30</v>
      </c>
    </row>
    <row r="10" spans="1:31" hidden="1" x14ac:dyDescent="0.6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31" x14ac:dyDescent="0.65">
      <c r="E11" s="1" t="s">
        <v>73</v>
      </c>
      <c r="F11" s="1" t="s">
        <v>73</v>
      </c>
      <c r="G11" s="1" t="s">
        <v>73</v>
      </c>
      <c r="L11" s="1"/>
    </row>
    <row r="12" spans="1:31" x14ac:dyDescent="0.65">
      <c r="A12" t="s">
        <v>66</v>
      </c>
    </row>
    <row r="15" spans="1:31" x14ac:dyDescent="0.65">
      <c r="A15" s="9"/>
      <c r="B15" s="9"/>
      <c r="C15" s="10"/>
      <c r="D15" s="9"/>
      <c r="E15" s="10"/>
      <c r="F15" s="9"/>
      <c r="G15" s="10"/>
      <c r="H15" s="9"/>
      <c r="I15" s="10"/>
      <c r="J15" s="9"/>
      <c r="K15" s="10"/>
      <c r="L15" s="9"/>
      <c r="M15" s="10"/>
      <c r="N15" s="9"/>
      <c r="O15" s="10"/>
      <c r="P15" s="9"/>
      <c r="Q15" s="10"/>
      <c r="R15" s="9"/>
      <c r="S15" s="10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BM39"/>
  <sheetViews>
    <sheetView zoomScale="80" zoomScaleNormal="80" workbookViewId="0">
      <selection activeCell="E7" sqref="E7"/>
    </sheetView>
  </sheetViews>
  <sheetFormatPr baseColWidth="10" defaultRowHeight="14.25" x14ac:dyDescent="0.65"/>
  <cols>
    <col min="1" max="1" width="22.40625" style="1" customWidth="1"/>
    <col min="2" max="2" width="23.7265625" style="1" customWidth="1"/>
    <col min="3" max="3" width="11.40625" style="2"/>
    <col min="4" max="15" width="11.40625" style="1"/>
  </cols>
  <sheetData>
    <row r="2" spans="1:65" x14ac:dyDescent="0.65">
      <c r="A2" s="9" t="s">
        <v>13</v>
      </c>
      <c r="B2" s="9" t="s">
        <v>14</v>
      </c>
      <c r="C2" s="10">
        <v>1</v>
      </c>
      <c r="D2" s="9" t="s">
        <v>15</v>
      </c>
      <c r="E2" s="10">
        <v>1</v>
      </c>
      <c r="F2" s="9" t="s">
        <v>16</v>
      </c>
      <c r="G2" s="10">
        <v>1</v>
      </c>
      <c r="H2" s="9" t="s">
        <v>17</v>
      </c>
      <c r="I2" s="10">
        <v>0.1</v>
      </c>
      <c r="J2" s="9" t="s">
        <v>18</v>
      </c>
      <c r="K2" s="10">
        <v>1</v>
      </c>
      <c r="L2" s="9" t="s">
        <v>19</v>
      </c>
      <c r="M2" s="10">
        <v>1</v>
      </c>
      <c r="N2" s="9" t="s">
        <v>79</v>
      </c>
      <c r="O2" s="10">
        <v>1E-3</v>
      </c>
      <c r="P2" s="9" t="s">
        <v>20</v>
      </c>
      <c r="Q2" s="10">
        <v>1E-3</v>
      </c>
      <c r="R2" s="9" t="s">
        <v>78</v>
      </c>
      <c r="S2" s="10">
        <v>0.01</v>
      </c>
      <c r="T2" s="8" t="s">
        <v>65</v>
      </c>
      <c r="U2" s="8">
        <v>0.3</v>
      </c>
      <c r="V2" s="8" t="s">
        <v>80</v>
      </c>
      <c r="W2" s="8">
        <v>0.01</v>
      </c>
      <c r="X2" s="8" t="s">
        <v>81</v>
      </c>
      <c r="Y2" s="8">
        <v>0.01</v>
      </c>
      <c r="Z2" s="8" t="s">
        <v>82</v>
      </c>
      <c r="AA2" s="8">
        <v>0</v>
      </c>
      <c r="AB2" s="8" t="s">
        <v>21</v>
      </c>
      <c r="AC2" s="8">
        <v>1E-3</v>
      </c>
      <c r="AD2" s="8" t="s">
        <v>83</v>
      </c>
      <c r="AE2" s="8">
        <v>1E-3</v>
      </c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</row>
    <row r="3" spans="1:65" x14ac:dyDescent="0.65">
      <c r="A3"/>
      <c r="B3"/>
      <c r="C3"/>
      <c r="D3"/>
      <c r="E3"/>
      <c r="F3"/>
      <c r="G3"/>
      <c r="H3"/>
      <c r="I3"/>
      <c r="J3"/>
      <c r="K3"/>
      <c r="L3"/>
      <c r="M3"/>
      <c r="N3"/>
      <c r="O3"/>
    </row>
    <row r="4" spans="1:65" x14ac:dyDescent="0.65">
      <c r="A4"/>
      <c r="B4" t="s">
        <v>6</v>
      </c>
      <c r="C4" t="s">
        <v>7</v>
      </c>
      <c r="D4" t="s">
        <v>8</v>
      </c>
      <c r="E4" t="s">
        <v>9</v>
      </c>
      <c r="F4" t="s">
        <v>10</v>
      </c>
      <c r="G4"/>
      <c r="H4"/>
      <c r="I4"/>
      <c r="J4"/>
      <c r="K4"/>
      <c r="L4"/>
      <c r="M4"/>
      <c r="N4"/>
      <c r="O4"/>
    </row>
    <row r="5" spans="1:65" x14ac:dyDescent="0.65">
      <c r="A5" t="s">
        <v>6</v>
      </c>
      <c r="B5">
        <v>1</v>
      </c>
      <c r="C5">
        <v>1</v>
      </c>
      <c r="D5">
        <v>1E-3</v>
      </c>
      <c r="E5">
        <v>1E-3</v>
      </c>
      <c r="F5">
        <v>0.01</v>
      </c>
      <c r="G5"/>
      <c r="H5"/>
      <c r="I5"/>
      <c r="J5"/>
      <c r="K5"/>
      <c r="L5"/>
      <c r="M5"/>
      <c r="N5"/>
      <c r="O5"/>
    </row>
    <row r="6" spans="1:65" x14ac:dyDescent="0.65">
      <c r="A6" t="s">
        <v>7</v>
      </c>
      <c r="B6"/>
      <c r="C6">
        <v>1</v>
      </c>
      <c r="D6">
        <v>0.3</v>
      </c>
      <c r="E6">
        <v>0.01</v>
      </c>
      <c r="F6">
        <v>0.01</v>
      </c>
      <c r="G6"/>
      <c r="H6"/>
      <c r="I6"/>
      <c r="J6"/>
      <c r="K6"/>
      <c r="L6"/>
      <c r="M6"/>
      <c r="N6"/>
      <c r="O6"/>
    </row>
    <row r="7" spans="1:65" x14ac:dyDescent="0.65">
      <c r="A7" t="s">
        <v>8</v>
      </c>
      <c r="B7"/>
      <c r="C7"/>
      <c r="D7">
        <v>1</v>
      </c>
      <c r="E7">
        <v>0</v>
      </c>
      <c r="F7">
        <v>1E-3</v>
      </c>
      <c r="G7"/>
      <c r="H7"/>
      <c r="I7"/>
      <c r="J7"/>
      <c r="K7"/>
      <c r="L7"/>
      <c r="M7"/>
      <c r="N7"/>
      <c r="O7"/>
    </row>
    <row r="8" spans="1:65" x14ac:dyDescent="0.65">
      <c r="A8" t="s">
        <v>9</v>
      </c>
      <c r="B8"/>
      <c r="C8"/>
      <c r="D8"/>
      <c r="E8">
        <v>0.1</v>
      </c>
      <c r="F8">
        <v>1E-3</v>
      </c>
      <c r="G8"/>
      <c r="H8"/>
      <c r="I8"/>
      <c r="J8"/>
      <c r="K8"/>
      <c r="L8"/>
      <c r="M8"/>
      <c r="N8"/>
      <c r="O8"/>
    </row>
    <row r="9" spans="1:65" x14ac:dyDescent="0.65">
      <c r="A9" t="s">
        <v>10</v>
      </c>
      <c r="B9"/>
      <c r="C9"/>
      <c r="D9"/>
      <c r="E9"/>
      <c r="F9">
        <v>1</v>
      </c>
      <c r="G9"/>
      <c r="H9"/>
      <c r="I9"/>
      <c r="J9"/>
      <c r="K9"/>
      <c r="L9"/>
      <c r="M9"/>
      <c r="N9"/>
      <c r="O9"/>
    </row>
    <row r="12" spans="1:65" x14ac:dyDescent="0.65">
      <c r="A12" s="9" t="s">
        <v>79</v>
      </c>
      <c r="B12" s="10">
        <v>1E-3</v>
      </c>
      <c r="C12" s="9" t="s">
        <v>20</v>
      </c>
      <c r="D12" s="10">
        <v>1E-3</v>
      </c>
      <c r="E12" s="9" t="s">
        <v>78</v>
      </c>
      <c r="F12" s="10">
        <v>0.01</v>
      </c>
      <c r="G12" s="8" t="s">
        <v>65</v>
      </c>
      <c r="H12" s="8">
        <v>0.3</v>
      </c>
      <c r="I12" s="8" t="s">
        <v>80</v>
      </c>
      <c r="J12" s="8">
        <v>0.01</v>
      </c>
      <c r="K12" s="8" t="s">
        <v>81</v>
      </c>
      <c r="L12" s="8">
        <v>0.01</v>
      </c>
    </row>
    <row r="13" spans="1:65" x14ac:dyDescent="0.65">
      <c r="A13" s="8" t="s">
        <v>82</v>
      </c>
      <c r="B13" s="8">
        <v>0</v>
      </c>
      <c r="C13" s="8" t="s">
        <v>21</v>
      </c>
      <c r="D13" s="8">
        <v>1E-3</v>
      </c>
      <c r="E13" s="8" t="s">
        <v>83</v>
      </c>
      <c r="F13" s="8">
        <v>1E-3</v>
      </c>
    </row>
    <row r="16" spans="1:65" x14ac:dyDescent="0.65">
      <c r="E16" s="2"/>
      <c r="G16" s="2"/>
      <c r="I16" s="2"/>
      <c r="K16" s="2"/>
      <c r="M16" s="2"/>
      <c r="O16" s="2"/>
      <c r="P16" s="1"/>
      <c r="Q16" s="2"/>
      <c r="R16" s="1"/>
      <c r="S16" s="2"/>
    </row>
    <row r="28" spans="5:11" x14ac:dyDescent="0.65">
      <c r="E28" s="2"/>
      <c r="G28" s="2"/>
      <c r="I28" s="2"/>
      <c r="K28" s="2"/>
    </row>
    <row r="39" spans="5:11" x14ac:dyDescent="0.65">
      <c r="E39" s="2"/>
      <c r="G39" s="2"/>
      <c r="I39" s="2"/>
      <c r="K39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Valores Usados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2018-01-31T21:03:42Z</dcterms:modified>
</cp:coreProperties>
</file>
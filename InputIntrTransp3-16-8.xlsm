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517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D72" i="4" l="1"/>
  <c r="D70" i="4"/>
  <c r="F69" i="4"/>
  <c r="D69" i="4"/>
  <c r="F61" i="4"/>
  <c r="D63" i="4" s="1"/>
  <c r="D61" i="4"/>
  <c r="D62" i="4" s="1"/>
  <c r="F49" i="4"/>
  <c r="D49" i="4"/>
  <c r="D52" i="4" s="1"/>
  <c r="D57" i="4" l="1"/>
  <c r="D50" i="4"/>
  <c r="D53" i="4"/>
  <c r="F69" i="1"/>
  <c r="D69" i="1"/>
  <c r="D72" i="1" s="1"/>
  <c r="D65" i="4" l="1"/>
  <c r="D66" i="4" s="1"/>
  <c r="D68" i="4" s="1"/>
  <c r="D54" i="4"/>
  <c r="D56" i="4"/>
  <c r="F53" i="4"/>
  <c r="D58" i="4"/>
  <c r="F60" i="4"/>
  <c r="F57" i="4"/>
  <c r="H57" i="4" s="1"/>
  <c r="D60" i="4"/>
  <c r="D70" i="1"/>
  <c r="H53" i="4" l="1"/>
  <c r="F65" i="4"/>
  <c r="H65" i="4" s="1"/>
  <c r="F60" i="2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F61" i="1"/>
  <c r="D63" i="1" s="1"/>
  <c r="D61" i="1"/>
  <c r="D62" i="1" s="1"/>
  <c r="F49" i="1"/>
  <c r="D49" i="1"/>
  <c r="D53" i="1" s="1"/>
  <c r="D57" i="2" l="1"/>
  <c r="F59" i="2"/>
  <c r="F56" i="2"/>
  <c r="H56" i="2" s="1"/>
  <c r="D59" i="2"/>
  <c r="H52" i="2"/>
  <c r="F64" i="2"/>
  <c r="H64" i="2" s="1"/>
  <c r="D54" i="1"/>
  <c r="D56" i="1"/>
  <c r="D65" i="1"/>
  <c r="D66" i="1" s="1"/>
  <c r="D68" i="1" s="1"/>
  <c r="F53" i="1"/>
  <c r="F65" i="1" s="1"/>
  <c r="H65" i="1" s="1"/>
  <c r="D52" i="1"/>
  <c r="D57" i="1"/>
  <c r="D50" i="1"/>
  <c r="H53" i="1" l="1"/>
  <c r="F60" i="1"/>
  <c r="F57" i="1"/>
  <c r="H57" i="1" s="1"/>
  <c r="D60" i="1"/>
  <c r="D58" i="1"/>
</calcChain>
</file>

<file path=xl/sharedStrings.xml><?xml version="1.0" encoding="utf-8"?>
<sst xmlns="http://schemas.openxmlformats.org/spreadsheetml/2006/main" count="762" uniqueCount="83">
  <si>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</si>
  <si>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</si>
  <si>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</si>
  <si>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</si>
  <si>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</si>
  <si>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</si>
  <si>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</si>
  <si>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</si>
  <si>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</si>
  <si>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</si>
  <si>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</si>
  <si>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</si>
  <si>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</si>
  <si>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</si>
  <si>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</si>
  <si>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</si>
  <si>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</si>
  <si>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</si>
  <si>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</si>
  <si>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</si>
  <si>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</si>
  <si>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</si>
  <si>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</si>
  <si>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</si>
  <si>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</si>
  <si>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</si>
  <si>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</si>
  <si>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</si>
  <si>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</si>
  <si>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</si>
  <si>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</si>
  <si>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</si>
  <si>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</si>
  <si>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</si>
  <si>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</si>
  <si>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</si>
  <si>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</si>
  <si>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</si>
  <si>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</si>
  <si>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</si>
  <si>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</si>
  <si>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</si>
  <si>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</si>
  <si>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</si>
  <si>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</si>
  <si>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</si>
  <si>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</si>
  <si>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</si>
  <si>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</si>
  <si>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</si>
  <si>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</si>
  <si>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</si>
  <si>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</si>
  <si>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</si>
  <si>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</si>
  <si>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</si>
  <si>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</si>
  <si>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</si>
  <si>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</si>
  <si>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</si>
  <si>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</si>
  <si>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</si>
  <si>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</si>
  <si>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</si>
  <si>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</si>
  <si>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</si>
  <si>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</si>
  <si>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</si>
  <si>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</si>
  <si>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</si>
  <si>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</si>
  <si>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</si>
  <si>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</si>
  <si>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</si>
  <si>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</si>
  <si>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</si>
  <si>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</si>
  <si>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</si>
  <si>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RabA10</t>
  </si>
  <si>
    <t>RabB10</t>
  </si>
  <si>
    <t>RabC10</t>
  </si>
  <si>
    <t>RabE10</t>
  </si>
  <si>
    <t>sph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</si>
</sst>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topLeftCell="A23" zoomScale="86" zoomScaleNormal="86" workbookViewId="0">
      <selection activeCell="E39" sqref="E39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v>45000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79</v>
      </c>
      <c r="D33" s="1" t="s">
        <v>80</v>
      </c>
    </row>
    <row r="34" spans="1:11" x14ac:dyDescent="0.65">
      <c r="A34" s="1" t="s">
        <v>34</v>
      </c>
      <c r="B34" s="1" t="s">
        <v>31</v>
      </c>
      <c r="C34" s="2" t="s">
        <v>82</v>
      </c>
    </row>
    <row r="35" spans="1:11" x14ac:dyDescent="0.65">
      <c r="A35" s="1" t="s">
        <v>34</v>
      </c>
      <c r="B35" s="1" t="s">
        <v>63</v>
      </c>
      <c r="C35" s="2" t="s">
        <v>82</v>
      </c>
    </row>
    <row r="36" spans="1:11" x14ac:dyDescent="0.65">
      <c r="A36" s="1" t="s">
        <v>34</v>
      </c>
      <c r="B36" s="1" t="s">
        <v>23</v>
      </c>
      <c r="C36" s="2" t="s">
        <v>78</v>
      </c>
      <c r="D36" s="2" t="s">
        <v>79</v>
      </c>
      <c r="E36" s="1" t="s">
        <v>80</v>
      </c>
    </row>
    <row r="37" spans="1:11" x14ac:dyDescent="0.65">
      <c r="A37" s="1" t="s">
        <v>34</v>
      </c>
      <c r="B37" s="1" t="s">
        <v>24</v>
      </c>
      <c r="C37" s="2" t="s">
        <v>78</v>
      </c>
      <c r="D37" s="2" t="s">
        <v>79</v>
      </c>
      <c r="E37" s="1" t="s">
        <v>80</v>
      </c>
    </row>
    <row r="38" spans="1:11" x14ac:dyDescent="0.65">
      <c r="A38" s="1" t="s">
        <v>34</v>
      </c>
      <c r="B38" s="1" t="s">
        <v>73</v>
      </c>
      <c r="C38" s="2" t="s">
        <v>78</v>
      </c>
      <c r="D38" s="2" t="s">
        <v>79</v>
      </c>
      <c r="E38" s="1" t="s">
        <v>80</v>
      </c>
    </row>
    <row r="39" spans="1:11" x14ac:dyDescent="0.65">
      <c r="A39" s="1" t="s">
        <v>34</v>
      </c>
      <c r="B39" s="1" t="s">
        <v>77</v>
      </c>
      <c r="C39" s="2" t="s">
        <v>78</v>
      </c>
      <c r="D39" s="2" t="s">
        <v>79</v>
      </c>
      <c r="E39" s="1" t="s">
        <v>80</v>
      </c>
    </row>
    <row r="40" spans="1:11" x14ac:dyDescent="0.65">
      <c r="A40" s="1" t="s">
        <v>34</v>
      </c>
      <c r="B40" s="1" t="s">
        <v>25</v>
      </c>
      <c r="C40" s="1" t="s">
        <v>80</v>
      </c>
      <c r="D40" s="1" t="s">
        <v>81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  <c r="J2" s="1" t="s">
        <v>71</v>
      </c>
      <c r="K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v>45000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5026.5482457436692</v>
      </c>
      <c r="E49" s="1" t="s">
        <v>45</v>
      </c>
      <c r="F49" s="1">
        <f>4/3*PI()*H49^3</f>
        <v>33510.321638291127</v>
      </c>
      <c r="G49" s="1" t="s">
        <v>46</v>
      </c>
      <c r="H49" s="1">
        <v>20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5026.5482457436692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50.26548245743669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D49</f>
        <v>5026.5482457436692</v>
      </c>
      <c r="E53" s="1" t="s">
        <v>45</v>
      </c>
      <c r="F53" s="1">
        <f>D53*5</f>
        <v>25132.741228718347</v>
      </c>
      <c r="G53" s="1" t="s">
        <v>46</v>
      </c>
      <c r="H53" s="1">
        <f>(F53*3/4/PI())^(1/3)</f>
        <v>18.171205928321388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5026.5482457436692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50.26548245743669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D49*2</f>
        <v>10053.096491487338</v>
      </c>
      <c r="E57" s="1" t="s">
        <v>45</v>
      </c>
      <c r="F57" s="1">
        <f>D57*5</f>
        <v>50265.482457436694</v>
      </c>
      <c r="G57" s="1" t="s">
        <v>46</v>
      </c>
      <c r="H57" s="1">
        <f>(F57*3/4/PI())^(1/3)</f>
        <v>22.894284851066633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10053.096491487338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100.53096491487338</v>
      </c>
      <c r="E60" s="1" t="s">
        <v>25</v>
      </c>
      <c r="F60" s="1">
        <f>D57/1000</f>
        <v>10.053096491487338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20106.192982974677</v>
      </c>
      <c r="E61" s="1" t="s">
        <v>45</v>
      </c>
      <c r="F61" s="1">
        <f>4/3*PI()*H61^3</f>
        <v>268082.57310632901</v>
      </c>
      <c r="G61" s="1" t="s">
        <v>46</v>
      </c>
      <c r="H61" s="1">
        <v>40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20106.192982974677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26808.2573106329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D53</f>
        <v>5026.5482457436692</v>
      </c>
      <c r="E65" s="1" t="s">
        <v>45</v>
      </c>
      <c r="F65" s="1">
        <f>F53</f>
        <v>25132.741228718347</v>
      </c>
      <c r="G65" s="1" t="s">
        <v>46</v>
      </c>
      <c r="H65" s="1">
        <f>(F65*3/4/PI())^(1/3)</f>
        <v>18.171205928321388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5026.5482457436692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5026.5482457436692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5026.5482457436692</v>
      </c>
      <c r="E69" s="1" t="s">
        <v>45</v>
      </c>
      <c r="F69" s="1">
        <f>4/3*PI()*H69^3</f>
        <v>33510.321638291127</v>
      </c>
      <c r="G69" s="1" t="s">
        <v>46</v>
      </c>
      <c r="H69" s="1">
        <v>20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5026.5482457436692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50.26548245743669</v>
      </c>
      <c r="E72" s="1" t="s">
        <v>35</v>
      </c>
      <c r="F72" s="1">
        <v>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69" zoomScaleNormal="69" workbookViewId="0"/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6</v>
      </c>
      <c r="B2" s="5" t="s">
        <v>7</v>
      </c>
      <c r="C2" s="6" t="s">
        <v>9</v>
      </c>
      <c r="E2" s="4" t="s">
        <v>73</v>
      </c>
      <c r="F2" s="5" t="s">
        <v>27</v>
      </c>
      <c r="G2" s="6" t="s">
        <v>35</v>
      </c>
      <c r="I2" s="8">
        <v>0</v>
      </c>
      <c r="J2" s="8">
        <v>0</v>
      </c>
      <c r="K2" s="8">
        <v>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2018-01-03T00:55:12Z</dcterms:modified>
</cp:coreProperties>
</file>
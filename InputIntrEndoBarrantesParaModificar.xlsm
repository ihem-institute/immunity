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Positive number: probability of tubule going to the PM.  Negative number: probability of tubule going to the nucleus. Zero is random</t>
        </r>
      </text>
    </comment>
    <comment ref="A32" authorId="0" shapeId="0">
      <text>
        <r>
          <rPr>
            <b/>
            <sz val="9"/>
            <color indexed="81"/>
            <rFont val="Tahoma"/>
            <family val="2"/>
          </rPr>
          <t xml:space="preserve">  :</t>
        </r>
        <r>
          <rPr>
            <sz val="9"/>
            <color indexed="81"/>
            <rFont val="Tahoma"/>
            <family val="2"/>
          </rPr>
          <t xml:space="preserve">  
Positive number: probability of non-tubule going to the PM.  Negative number: probability of non-tubule going to the nucleus. Zero is random</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<sst xmlns="http://schemas.openxmlformats.org/spreadsheetml/2006/main" count="1619" uniqueCount="153">
  <si>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</si>
  <si>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</si>
  <si>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</si>
  <si>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</si>
  <si>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</si>
  <si>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</si>
  <si>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</si>
  <si>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</si>
  <si>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</si>
  <si>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</si>
  <si>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</si>
  <si>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</si>
  <si>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</si>
  <si>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</si>
  <si>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</si>
  <si>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</si>
  <si>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</si>
  <si>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</si>
  <si>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</si>
  <si>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</si>
  <si>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</si>
  <si>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</si>
  <si>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</si>
  <si>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</si>
  <si>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</si>
  <si>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</si>
  <si>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</si>
  <si>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</si>
  <si>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</si>
  <si>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</si>
  <si>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</si>
  <si>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</si>
  <si>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</si>
  <si>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</si>
  <si>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</si>
  <si>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</si>
  <si>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</si>
  <si>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</si>
  <si>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</si>
  <si>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</si>
  <si>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</si>
  <si>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</si>
  <si>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</si>
  <si>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</si>
  <si>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</si>
  <si>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</si>
  <si>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</si>
  <si>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</si>
  <si>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</si>
  <si>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</si>
  <si>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</si>
  <si>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</si>
  <si>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</si>
  <si>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</si>
  <si>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</si>
  <si>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</si>
  <si>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</si>
  <si>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</si>
  <si>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</si>
  <si>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</si>
  <si>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</si>
  <si>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</si>
  <si>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</si>
  <si>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</si>
  <si>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</si>
  <si>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</si>
  <si>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</si>
  <si>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</si>
  <si>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</si>
  <si>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</si>
  <si>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</si>
  <si>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</si>
  <si>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</si>
  <si>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</si>
  <si>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</si>
  <si>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</si>
  <si>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</si>
  <si>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</si>
  <si>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</si>
  <si>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</si>
  <si>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</si>
  <si>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</si>
  <si>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</si>
  <si>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</si>
  <si>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</si>
  <si>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</si>
  <si>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</si>
  <si>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</si>
  <si>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</si>
  <si>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</si>
  <si>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</si>
  <si>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</si>
  <si>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</si>
  <si>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</si>
  <si>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</si>
  <si>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</si>
  <si>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</si>
  <si>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</si>
  <si>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</si>
  <si>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</si>
  <si>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</si>
  <si>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</si>
  <si>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</si>
  <si>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</si>
  <si>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</si>
  <si>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</si>
  <si>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</si>
  <si>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</si>
  <si>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</si>
  <si>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</si>
  <si>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</si>
  <si>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</si>
  <si>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</si>
  <si>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</si>
  <si>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</si>
  <si>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</si>
  <si>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</si>
  <si>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</si>
  <si>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</si>
  <si>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</si>
  <si>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</si>
  <si>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</si>
  <si>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</si>
  <si>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</si>
  <si>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</si>
  <si>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</si>
  <si>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</si>
  <si>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</si>
  <si>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</si>
  <si>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</si>
  <si>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</si>
  <si>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</si>
  <si>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</si>
  <si>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</si>
  <si>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</si>
  <si>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</si>
  <si>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</si>
  <si>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</si>
  <si>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</si>
  <si>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</si>
  <si>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</si>
  <si>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</si>
  <si>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</si>
  <si>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</si>
  <si>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</si>
  <si>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</si>
  <si>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</si>
  <si>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</si>
  <si>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</si>
  <si>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</si>
  <si>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</si>
  <si>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rabs_conversionNew.cps</t>
  </si>
  <si>
    <t>AchR-PM.cps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</si>
</sst>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135</v>
      </c>
      <c r="B1" s="11"/>
      <c r="C1" s="12"/>
      <c r="D1" s="11"/>
      <c r="E1" s="11"/>
      <c r="F1" s="11"/>
      <c r="G1" s="11"/>
      <c r="H1" s="11"/>
      <c r="I1" s="11"/>
      <c r="J1" s="11"/>
      <c r="K1" s="11"/>
      <c r="L1" s="11"/>
      <c r="M1" s="11"/>
      <c r="N1" s="11"/>
      <c r="O1" s="11"/>
    </row>
    <row r="2" spans="1:16" s="7" customFormat="1" x14ac:dyDescent="0.45">
      <c r="A2" s="11" t="s">
        <v>1</v>
      </c>
      <c r="B2" s="11" t="s">
        <v>2</v>
      </c>
      <c r="C2" s="12">
        <v>20</v>
      </c>
      <c r="D2" s="11" t="s">
        <v>64</v>
      </c>
      <c r="E2" s="11">
        <v>0.5</v>
      </c>
      <c r="F2" s="11" t="s">
        <v>69</v>
      </c>
      <c r="G2" s="11">
        <v>0.5</v>
      </c>
      <c r="H2" s="11" t="s">
        <v>102</v>
      </c>
      <c r="I2" s="11">
        <v>0</v>
      </c>
      <c r="N2" s="11"/>
      <c r="O2" s="11"/>
    </row>
    <row r="3" spans="1:16" s="7" customFormat="1" x14ac:dyDescent="0.45">
      <c r="A3" s="11" t="s">
        <v>1</v>
      </c>
      <c r="B3" s="11" t="s">
        <v>104</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149</v>
      </c>
      <c r="B5" s="1" t="s">
        <v>144</v>
      </c>
      <c r="C5" s="2">
        <f>1500*1500/(E2^2)</f>
        <v>9000000</v>
      </c>
      <c r="D5" s="1" t="s">
        <v>145</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B7" s="11" t="s">
        <v>78</v>
      </c>
      <c r="C7" s="11">
        <v>1E-4</v>
      </c>
      <c r="F7" s="11"/>
      <c r="G7" s="11"/>
      <c r="H7" s="11"/>
      <c r="I7" s="11"/>
      <c r="J7" s="11"/>
      <c r="K7" s="11"/>
      <c r="L7" s="11"/>
      <c r="M7" s="11"/>
      <c r="N7" s="11"/>
      <c r="O7" s="11"/>
    </row>
    <row r="8" spans="1:16" s="7" customFormat="1" x14ac:dyDescent="0.45">
      <c r="A8" s="11" t="s">
        <v>100</v>
      </c>
      <c r="B8" s="11"/>
      <c r="C8" s="12"/>
      <c r="D8" s="11"/>
      <c r="E8" s="12"/>
      <c r="F8" s="11"/>
      <c r="G8" s="12"/>
      <c r="H8" s="11"/>
      <c r="I8" s="11"/>
      <c r="J8" s="11"/>
      <c r="K8" s="11"/>
      <c r="L8" s="11"/>
      <c r="M8" s="11"/>
      <c r="N8" s="11"/>
      <c r="O8" s="11"/>
    </row>
    <row r="9" spans="1:16" s="7" customFormat="1" x14ac:dyDescent="0.45">
      <c r="A9" s="11" t="s">
        <v>150</v>
      </c>
      <c r="B9" s="11" t="s">
        <v>11</v>
      </c>
      <c r="C9" s="12"/>
      <c r="D9" s="11"/>
      <c r="E9" s="12"/>
      <c r="F9" s="11"/>
      <c r="G9" s="12"/>
      <c r="H9" s="11"/>
      <c r="I9" s="11"/>
      <c r="J9" s="11"/>
      <c r="K9" s="11"/>
      <c r="L9" s="11"/>
      <c r="M9" s="11"/>
      <c r="N9" s="11"/>
      <c r="O9" s="11"/>
    </row>
    <row r="10" spans="1:16" x14ac:dyDescent="0.45">
      <c r="A10" s="15" t="s">
        <v>136</v>
      </c>
    </row>
    <row r="11" spans="1:16" x14ac:dyDescent="0.45">
      <c r="A11" s="1" t="s">
        <v>148</v>
      </c>
      <c r="B11" s="1" t="s">
        <v>146</v>
      </c>
      <c r="C11" s="2">
        <f>1500*400/E2^2</f>
        <v>2400000</v>
      </c>
      <c r="D11" s="1" t="s">
        <v>147</v>
      </c>
      <c r="E11" s="1">
        <f>1500*400*1000/E2^3</f>
        <v>4800000000</v>
      </c>
    </row>
    <row r="12" spans="1:16" s="7" customFormat="1" x14ac:dyDescent="0.45">
      <c r="A12" s="11" t="s">
        <v>133</v>
      </c>
      <c r="B12" s="11" t="s">
        <v>122</v>
      </c>
      <c r="C12" s="12">
        <v>1.0999999999999999E-2</v>
      </c>
      <c r="D12" s="11" t="s">
        <v>123</v>
      </c>
      <c r="E12" s="12">
        <v>0</v>
      </c>
      <c r="F12" s="11" t="s">
        <v>124</v>
      </c>
      <c r="G12" s="12">
        <v>0</v>
      </c>
      <c r="H12" s="11" t="s">
        <v>91</v>
      </c>
      <c r="I12" s="11">
        <v>1</v>
      </c>
      <c r="J12" s="11" t="s">
        <v>34</v>
      </c>
      <c r="K12" s="11">
        <v>0.1</v>
      </c>
      <c r="L12" s="11"/>
      <c r="M12" s="11"/>
      <c r="N12" s="11"/>
      <c r="O12" s="11"/>
    </row>
    <row r="13" spans="1:16" s="7" customFormat="1" x14ac:dyDescent="0.45">
      <c r="A13" s="11" t="s">
        <v>134</v>
      </c>
      <c r="B13" s="11" t="s">
        <v>125</v>
      </c>
      <c r="C13" s="12">
        <v>0</v>
      </c>
      <c r="D13" s="11"/>
      <c r="E13" s="12"/>
      <c r="F13" s="11"/>
      <c r="G13" s="12"/>
      <c r="H13" s="11"/>
      <c r="I13" s="11"/>
      <c r="J13" s="11"/>
      <c r="K13" s="11"/>
      <c r="L13" s="11"/>
      <c r="M13" s="11"/>
      <c r="N13" s="11"/>
      <c r="O13" s="11"/>
    </row>
    <row r="14" spans="1:16" s="7" customFormat="1" x14ac:dyDescent="0.45">
      <c r="A14" s="11" t="s">
        <v>137</v>
      </c>
      <c r="B14" s="11" t="s">
        <v>34</v>
      </c>
      <c r="C14" s="7">
        <v>1</v>
      </c>
      <c r="D14" s="11" t="s">
        <v>88</v>
      </c>
      <c r="E14" s="7">
        <v>0</v>
      </c>
      <c r="F14" s="11" t="s">
        <v>76</v>
      </c>
      <c r="G14" s="7">
        <v>0.5</v>
      </c>
      <c r="H14" s="11" t="s">
        <v>122</v>
      </c>
      <c r="I14" s="7">
        <v>0.5</v>
      </c>
      <c r="J14" s="11" t="s">
        <v>123</v>
      </c>
      <c r="K14" s="7">
        <v>0</v>
      </c>
      <c r="L14" s="11" t="s">
        <v>124</v>
      </c>
      <c r="M14" s="7">
        <v>1</v>
      </c>
      <c r="N14" s="11" t="s">
        <v>91</v>
      </c>
      <c r="O14" s="7">
        <v>0.1</v>
      </c>
      <c r="P14" s="11"/>
    </row>
    <row r="15" spans="1:16" s="7" customFormat="1" x14ac:dyDescent="0.45">
      <c r="A15" s="11" t="s">
        <v>141</v>
      </c>
      <c r="B15" s="11" t="s">
        <v>152</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142</v>
      </c>
      <c r="B18" s="1" t="s">
        <v>11</v>
      </c>
    </row>
    <row r="19" spans="1:15" x14ac:dyDescent="0.45">
      <c r="A19" s="1" t="s">
        <v>143</v>
      </c>
      <c r="B19" s="1" t="s">
        <v>151</v>
      </c>
    </row>
    <row r="20" spans="1:15" s="7" customFormat="1" x14ac:dyDescent="0.45">
      <c r="A20" s="11" t="s">
        <v>13</v>
      </c>
      <c r="B20" s="11" t="s">
        <v>14</v>
      </c>
      <c r="C20" s="12">
        <v>1</v>
      </c>
    </row>
    <row r="21" spans="1:15" s="7" customFormat="1" x14ac:dyDescent="0.45">
      <c r="A21" s="11" t="s">
        <v>13</v>
      </c>
      <c r="B21" s="11" t="s">
        <v>19</v>
      </c>
      <c r="C21" s="12">
        <v>0.5</v>
      </c>
      <c r="D21" s="11" t="s">
        <v>15</v>
      </c>
      <c r="E21" s="12">
        <v>1</v>
      </c>
      <c r="F21" s="11"/>
      <c r="G21" s="11"/>
      <c r="H21" s="11"/>
      <c r="I21" s="11"/>
      <c r="J21" s="11"/>
      <c r="K21" s="11"/>
      <c r="L21" s="11"/>
      <c r="M21" s="11"/>
      <c r="N21" s="11"/>
      <c r="O21" s="11"/>
    </row>
    <row r="22" spans="1:15" s="7" customFormat="1" x14ac:dyDescent="0.45">
      <c r="A22" s="11" t="s">
        <v>13</v>
      </c>
      <c r="B22" s="11" t="s">
        <v>71</v>
      </c>
      <c r="C22" s="12">
        <v>1E-4</v>
      </c>
      <c r="D22" s="7" t="s">
        <v>60</v>
      </c>
      <c r="E22" s="7">
        <v>0.3</v>
      </c>
      <c r="F22" s="11" t="s">
        <v>16</v>
      </c>
      <c r="G22" s="12">
        <v>1</v>
      </c>
      <c r="I22" s="11"/>
      <c r="J22" s="11"/>
      <c r="K22" s="11"/>
      <c r="L22" s="11"/>
      <c r="M22" s="11"/>
      <c r="N22" s="11"/>
      <c r="O22" s="11"/>
    </row>
    <row r="23" spans="1:15" s="7" customFormat="1" x14ac:dyDescent="0.45">
      <c r="A23" s="11" t="s">
        <v>13</v>
      </c>
      <c r="B23" s="11" t="s">
        <v>20</v>
      </c>
      <c r="C23" s="12">
        <v>1E-3</v>
      </c>
      <c r="D23" s="7" t="s">
        <v>72</v>
      </c>
      <c r="E23" s="7">
        <v>0.03</v>
      </c>
      <c r="F23" s="7" t="s">
        <v>74</v>
      </c>
      <c r="G23" s="7">
        <v>1E-4</v>
      </c>
      <c r="H23" s="11" t="s">
        <v>17</v>
      </c>
      <c r="I23" s="12">
        <v>0.1</v>
      </c>
      <c r="K23" s="11"/>
      <c r="L23" s="11"/>
      <c r="M23" s="11"/>
      <c r="N23" s="11"/>
      <c r="O23" s="11"/>
    </row>
    <row r="24" spans="1:15" s="7" customFormat="1" x14ac:dyDescent="0.45">
      <c r="A24" s="11" t="s">
        <v>13</v>
      </c>
      <c r="B24" s="11" t="s">
        <v>70</v>
      </c>
      <c r="C24" s="12">
        <v>1E-3</v>
      </c>
      <c r="D24" s="7" t="s">
        <v>73</v>
      </c>
      <c r="E24" s="7">
        <v>0.01</v>
      </c>
      <c r="F24" s="7" t="s">
        <v>21</v>
      </c>
      <c r="G24" s="7">
        <v>1E-4</v>
      </c>
      <c r="H24" s="7" t="s">
        <v>75</v>
      </c>
      <c r="I24" s="7">
        <v>1E-3</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90</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0.8</v>
      </c>
      <c r="D30" s="11" t="s">
        <v>7</v>
      </c>
      <c r="E30" s="12">
        <v>1</v>
      </c>
      <c r="F30" s="11" t="s">
        <v>8</v>
      </c>
      <c r="G30" s="12">
        <v>1</v>
      </c>
      <c r="H30" s="11" t="s">
        <v>9</v>
      </c>
      <c r="I30" s="12">
        <v>0</v>
      </c>
      <c r="J30" s="11" t="s">
        <v>10</v>
      </c>
      <c r="K30" s="12">
        <v>1</v>
      </c>
      <c r="L30" s="11"/>
      <c r="M30" s="11"/>
      <c r="N30" s="11"/>
      <c r="O30" s="11"/>
    </row>
    <row r="31" spans="1:15" s="7" customFormat="1" x14ac:dyDescent="0.45">
      <c r="A31" s="11" t="s">
        <v>138</v>
      </c>
      <c r="B31" s="11" t="s">
        <v>6</v>
      </c>
      <c r="C31" s="12">
        <v>1</v>
      </c>
      <c r="D31" s="11" t="s">
        <v>7</v>
      </c>
      <c r="E31" s="12">
        <v>1</v>
      </c>
      <c r="F31" s="11" t="s">
        <v>8</v>
      </c>
      <c r="G31" s="12">
        <v>0.5</v>
      </c>
      <c r="H31" s="11" t="s">
        <v>9</v>
      </c>
      <c r="I31" s="12">
        <v>0</v>
      </c>
      <c r="J31" s="11" t="s">
        <v>10</v>
      </c>
      <c r="K31" s="12">
        <v>0</v>
      </c>
      <c r="L31" s="11"/>
      <c r="M31" s="11"/>
      <c r="N31" s="11"/>
      <c r="O31" s="11"/>
    </row>
    <row r="32" spans="1:15" s="7" customFormat="1" x14ac:dyDescent="0.45">
      <c r="A32" s="11" t="s">
        <v>139</v>
      </c>
      <c r="B32" s="11" t="s">
        <v>6</v>
      </c>
      <c r="C32" s="12">
        <v>0</v>
      </c>
      <c r="D32" s="11" t="s">
        <v>7</v>
      </c>
      <c r="E32" s="12">
        <v>0</v>
      </c>
      <c r="F32" s="11" t="s">
        <v>8</v>
      </c>
      <c r="G32" s="12">
        <v>-0.5</v>
      </c>
      <c r="H32" s="11" t="s">
        <v>9</v>
      </c>
      <c r="I32" s="12">
        <v>-1</v>
      </c>
      <c r="J32" s="11" t="s">
        <v>10</v>
      </c>
      <c r="K32" s="12">
        <v>-1</v>
      </c>
      <c r="L32" s="11"/>
      <c r="M32" s="11"/>
      <c r="N32" s="11"/>
      <c r="O32" s="11"/>
    </row>
    <row r="33" spans="1:16" s="7" customFormat="1" x14ac:dyDescent="0.45">
      <c r="A33" s="11" t="s">
        <v>65</v>
      </c>
      <c r="B33" s="11" t="s">
        <v>6</v>
      </c>
      <c r="C33" s="12">
        <v>0.05</v>
      </c>
      <c r="D33" s="11" t="s">
        <v>7</v>
      </c>
      <c r="E33" s="11">
        <v>0</v>
      </c>
      <c r="F33" s="11" t="s">
        <v>8</v>
      </c>
      <c r="G33" s="11">
        <v>0.1</v>
      </c>
      <c r="H33" s="11" t="s">
        <v>9</v>
      </c>
      <c r="I33" s="11">
        <v>0</v>
      </c>
      <c r="J33" s="11" t="s">
        <v>10</v>
      </c>
      <c r="K33" s="11">
        <v>0</v>
      </c>
      <c r="L33" s="11"/>
      <c r="M33" s="11"/>
      <c r="N33" s="11"/>
      <c r="O33" s="11"/>
    </row>
    <row r="34" spans="1:16" s="7" customFormat="1" x14ac:dyDescent="0.45">
      <c r="A34" s="11" t="s">
        <v>107</v>
      </c>
      <c r="B34" s="11" t="s">
        <v>6</v>
      </c>
      <c r="C34" s="12" t="s">
        <v>128</v>
      </c>
      <c r="D34" s="11" t="s">
        <v>7</v>
      </c>
      <c r="E34" s="11" t="s">
        <v>129</v>
      </c>
      <c r="F34" s="11" t="s">
        <v>8</v>
      </c>
      <c r="G34" s="11" t="s">
        <v>130</v>
      </c>
      <c r="H34" s="11" t="s">
        <v>9</v>
      </c>
      <c r="I34" s="11" t="s">
        <v>131</v>
      </c>
      <c r="J34" s="11" t="s">
        <v>10</v>
      </c>
      <c r="K34" s="11" t="s">
        <v>111</v>
      </c>
      <c r="L34" s="11"/>
      <c r="M34" s="11"/>
      <c r="N34" s="11"/>
      <c r="O34" s="11"/>
    </row>
    <row r="35" spans="1:16" s="7" customFormat="1" x14ac:dyDescent="0.45">
      <c r="A35" s="11" t="s">
        <v>22</v>
      </c>
      <c r="B35" s="11" t="s">
        <v>34</v>
      </c>
      <c r="C35" s="11" t="s">
        <v>88</v>
      </c>
      <c r="D35" s="11" t="s">
        <v>76</v>
      </c>
      <c r="E35" s="11" t="s">
        <v>91</v>
      </c>
      <c r="F35" s="11" t="s">
        <v>122</v>
      </c>
      <c r="G35" s="11" t="s">
        <v>123</v>
      </c>
      <c r="H35" s="11" t="s">
        <v>124</v>
      </c>
      <c r="P35" s="11"/>
    </row>
    <row r="36" spans="1:16" s="7" customFormat="1" x14ac:dyDescent="0.45">
      <c r="A36" s="11" t="s">
        <v>26</v>
      </c>
      <c r="B36" s="11" t="s">
        <v>116</v>
      </c>
      <c r="C36" s="11" t="s">
        <v>58</v>
      </c>
      <c r="D36" s="11" t="s">
        <v>78</v>
      </c>
      <c r="E36" s="11" t="s">
        <v>125</v>
      </c>
      <c r="F36" s="11" t="s">
        <v>30</v>
      </c>
      <c r="G36" s="11"/>
      <c r="H36" s="11"/>
      <c r="I36" s="11"/>
      <c r="J36" s="11"/>
      <c r="K36" s="11"/>
      <c r="L36" s="11"/>
      <c r="M36" s="11"/>
      <c r="N36" s="11"/>
      <c r="O36" s="11"/>
    </row>
    <row r="37" spans="1:16" s="7" customFormat="1" x14ac:dyDescent="0.45">
      <c r="A37" s="11" t="s">
        <v>33</v>
      </c>
      <c r="B37" s="11" t="s">
        <v>34</v>
      </c>
      <c r="C37" s="11" t="s">
        <v>84</v>
      </c>
      <c r="D37" s="11" t="s">
        <v>85</v>
      </c>
      <c r="E37" s="11"/>
      <c r="F37" s="11"/>
      <c r="G37" s="11"/>
      <c r="H37" s="11"/>
      <c r="I37" s="11"/>
      <c r="J37" s="11"/>
      <c r="K37" s="11"/>
      <c r="L37" s="11"/>
      <c r="M37" s="11"/>
      <c r="N37" s="11"/>
      <c r="O37" s="11"/>
    </row>
    <row r="38" spans="1:16" s="7" customFormat="1" x14ac:dyDescent="0.45">
      <c r="A38" s="11" t="s">
        <v>33</v>
      </c>
      <c r="B38" s="11" t="s">
        <v>76</v>
      </c>
      <c r="C38" s="11" t="s">
        <v>126</v>
      </c>
      <c r="D38" s="11" t="s">
        <v>127</v>
      </c>
      <c r="E38" s="11"/>
      <c r="G38" s="11"/>
      <c r="H38" s="11"/>
      <c r="I38" s="11"/>
      <c r="J38" s="11"/>
      <c r="K38" s="11"/>
      <c r="L38" s="11"/>
      <c r="M38" s="11"/>
      <c r="N38" s="11"/>
      <c r="O38" s="11"/>
    </row>
    <row r="39" spans="1:16" s="7" customFormat="1" x14ac:dyDescent="0.45">
      <c r="A39" s="11" t="s">
        <v>33</v>
      </c>
      <c r="B39" s="11" t="s">
        <v>123</v>
      </c>
      <c r="C39" s="12" t="s">
        <v>85</v>
      </c>
      <c r="D39" s="11"/>
      <c r="F39" s="11"/>
      <c r="G39" s="11"/>
      <c r="H39" s="11"/>
      <c r="I39" s="11"/>
      <c r="J39" s="11"/>
      <c r="K39" s="11"/>
      <c r="L39" s="11"/>
      <c r="M39" s="11"/>
      <c r="N39" s="11"/>
      <c r="O39" s="11"/>
    </row>
    <row r="40" spans="1:16" s="7" customFormat="1" x14ac:dyDescent="0.45">
      <c r="A40" s="11" t="s">
        <v>33</v>
      </c>
      <c r="B40" s="11" t="s">
        <v>88</v>
      </c>
      <c r="C40" s="11" t="s">
        <v>84</v>
      </c>
      <c r="D40" s="11" t="s">
        <v>85</v>
      </c>
      <c r="E40" s="11"/>
      <c r="F40" s="11"/>
      <c r="G40" s="11"/>
      <c r="H40" s="11"/>
      <c r="I40" s="11"/>
      <c r="J40" s="11"/>
      <c r="K40" s="11"/>
      <c r="L40" s="11"/>
      <c r="M40" s="11"/>
      <c r="N40" s="11"/>
      <c r="O40" s="11"/>
    </row>
    <row r="41" spans="1:16" s="7" customFormat="1" x14ac:dyDescent="0.45">
      <c r="A41" s="11" t="s">
        <v>33</v>
      </c>
      <c r="B41" s="11" t="s">
        <v>122</v>
      </c>
      <c r="C41" s="11" t="s">
        <v>85</v>
      </c>
      <c r="D41" s="11" t="s">
        <v>84</v>
      </c>
      <c r="E41" s="11"/>
      <c r="F41" s="11"/>
      <c r="G41" s="11"/>
      <c r="H41" s="11"/>
      <c r="I41" s="11"/>
      <c r="J41" s="11"/>
      <c r="K41" s="11"/>
      <c r="L41" s="11"/>
      <c r="M41" s="11"/>
      <c r="N41" s="11"/>
      <c r="O41" s="11"/>
    </row>
    <row r="42" spans="1:16" s="7" customFormat="1" x14ac:dyDescent="0.45">
      <c r="A42" s="11" t="s">
        <v>33</v>
      </c>
      <c r="B42" s="11" t="s">
        <v>124</v>
      </c>
      <c r="C42" s="11" t="s">
        <v>127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91</v>
      </c>
      <c r="C44" s="11" t="s">
        <v>120</v>
      </c>
      <c r="D44" s="11" t="s">
        <v>132</v>
      </c>
      <c r="E44" s="11"/>
      <c r="F44" s="11"/>
      <c r="G44" s="11"/>
      <c r="H44" s="11"/>
      <c r="I44" s="11"/>
      <c r="J44" s="11"/>
      <c r="K44" s="11"/>
      <c r="L44" s="11"/>
      <c r="M44" s="11"/>
      <c r="N44" s="11"/>
      <c r="O44" s="11"/>
    </row>
    <row r="45" spans="1:16" s="7" customFormat="1" x14ac:dyDescent="0.45">
      <c r="A45" s="11" t="s">
        <v>33</v>
      </c>
      <c r="B45" s="11" t="s">
        <v>125</v>
      </c>
      <c r="C45" s="11"/>
      <c r="D45" s="11"/>
      <c r="E45" s="11"/>
      <c r="F45" s="11"/>
      <c r="G45" s="11"/>
      <c r="H45" s="11"/>
      <c r="I45" s="11"/>
      <c r="J45" s="11"/>
      <c r="K45" s="11"/>
      <c r="L45" s="11"/>
      <c r="M45" s="11"/>
      <c r="N45" s="11"/>
      <c r="O45" s="11"/>
    </row>
    <row r="46" spans="1:16" s="7" customFormat="1" x14ac:dyDescent="0.45">
      <c r="A46" s="11" t="s">
        <v>33</v>
      </c>
      <c r="B46" s="11" t="s">
        <v>116</v>
      </c>
      <c r="D46" s="11"/>
      <c r="E46" s="12"/>
      <c r="F46" s="11"/>
      <c r="G46" s="11"/>
      <c r="H46" s="11"/>
      <c r="I46" s="11"/>
      <c r="J46" s="11"/>
      <c r="K46" s="11"/>
      <c r="L46" s="11"/>
      <c r="M46" s="11"/>
      <c r="N46" s="11"/>
      <c r="O46" s="11"/>
    </row>
    <row r="47" spans="1:16" s="7" customFormat="1" x14ac:dyDescent="0.45">
      <c r="A47" s="11" t="s">
        <v>33</v>
      </c>
      <c r="B47" s="11" t="s">
        <v>58</v>
      </c>
      <c r="C47" s="11" t="s">
        <v>87</v>
      </c>
      <c r="F47" s="11"/>
      <c r="G47" s="11"/>
      <c r="H47" s="11"/>
      <c r="I47" s="11"/>
      <c r="J47" s="11"/>
      <c r="K47" s="11"/>
      <c r="L47" s="11"/>
      <c r="M47" s="11"/>
      <c r="N47" s="11"/>
      <c r="O47" s="11"/>
    </row>
    <row r="48" spans="1:16" s="7" customFormat="1" x14ac:dyDescent="0.45">
      <c r="A48" s="11" t="s">
        <v>11</v>
      </c>
      <c r="B48" s="11"/>
      <c r="C48" s="11"/>
      <c r="F48" s="11"/>
      <c r="G48" s="11"/>
      <c r="H48" s="11"/>
      <c r="I48" s="11"/>
      <c r="J48" s="11"/>
      <c r="K48" s="11"/>
      <c r="L48" s="11"/>
      <c r="M48" s="11"/>
      <c r="N48" s="11"/>
      <c r="O48" s="11"/>
    </row>
    <row r="49" spans="1:15" s="7" customFormat="1" x14ac:dyDescent="0.45">
      <c r="A49" s="11" t="s">
        <v>11</v>
      </c>
      <c r="B49" s="11"/>
      <c r="C49" s="11"/>
      <c r="F49" s="11"/>
      <c r="G49" s="11"/>
      <c r="H49" s="11"/>
      <c r="I49" s="11"/>
      <c r="J49" s="11"/>
      <c r="K49" s="11"/>
      <c r="L49" s="11"/>
      <c r="M49" s="11"/>
      <c r="N49" s="11"/>
      <c r="O49" s="11"/>
    </row>
    <row r="50" spans="1:15" s="7" customFormat="1" x14ac:dyDescent="0.45">
      <c r="A50" s="11" t="s">
        <v>11</v>
      </c>
      <c r="B50" s="11"/>
      <c r="C50" s="11"/>
      <c r="F50" s="11"/>
      <c r="G50" s="11"/>
      <c r="H50" s="11"/>
      <c r="I50" s="11"/>
      <c r="J50" s="11"/>
      <c r="K50" s="11"/>
      <c r="L50" s="11"/>
      <c r="M50" s="11"/>
      <c r="N50" s="11"/>
      <c r="O50" s="11"/>
    </row>
    <row r="51" spans="1:15" x14ac:dyDescent="0.45">
      <c r="A51" s="1" t="s">
        <v>11</v>
      </c>
    </row>
    <row r="52" spans="1:15" x14ac:dyDescent="0.45">
      <c r="A52" s="1" t="s">
        <v>11</v>
      </c>
    </row>
    <row r="53" spans="1:15" s="7" customFormat="1" x14ac:dyDescent="0.45">
      <c r="A53" s="11" t="s">
        <v>11</v>
      </c>
      <c r="B53" s="11"/>
      <c r="C53" s="12"/>
      <c r="D53" s="11"/>
      <c r="E53" s="11"/>
      <c r="F53" s="11"/>
      <c r="G53" s="11"/>
      <c r="H53" s="11"/>
      <c r="I53" s="11"/>
      <c r="J53" s="11"/>
      <c r="K53" s="11"/>
      <c r="L53" s="11"/>
      <c r="M53" s="11"/>
      <c r="N53" s="11"/>
      <c r="O53" s="11"/>
    </row>
    <row r="54" spans="1:15" s="7" customFormat="1" x14ac:dyDescent="0.45">
      <c r="A54" s="11" t="s">
        <v>54</v>
      </c>
      <c r="B54" s="11" t="s">
        <v>55</v>
      </c>
      <c r="C54" s="12" t="s">
        <v>91</v>
      </c>
      <c r="D54" s="11" t="s">
        <v>56</v>
      </c>
      <c r="E54" s="11" t="s">
        <v>124</v>
      </c>
      <c r="F54" s="11" t="s">
        <v>57</v>
      </c>
      <c r="G54" s="11" t="s">
        <v>122</v>
      </c>
      <c r="H54" s="11"/>
      <c r="I54" s="11"/>
      <c r="J54" s="11"/>
      <c r="K54" s="11"/>
      <c r="L54" s="11"/>
      <c r="M54" s="11"/>
      <c r="N54" s="11"/>
      <c r="O54" s="11"/>
    </row>
    <row r="55" spans="1:15" s="7" customFormat="1" x14ac:dyDescent="0.45">
      <c r="A55" s="13" t="s">
        <v>52</v>
      </c>
      <c r="B55" s="11"/>
      <c r="C55" s="12"/>
      <c r="D55" s="11"/>
      <c r="E55" s="11"/>
      <c r="F55" s="11"/>
      <c r="G55" s="11"/>
      <c r="H55" s="11"/>
      <c r="I55" s="11"/>
      <c r="J55" s="11"/>
      <c r="K55" s="11"/>
      <c r="L55" s="11"/>
      <c r="M55" s="11"/>
      <c r="N55" s="11"/>
      <c r="O55" s="11"/>
    </row>
    <row r="56" spans="1:15"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5" s="7" customFormat="1" x14ac:dyDescent="0.45">
      <c r="A57" s="11" t="s">
        <v>41</v>
      </c>
      <c r="B57" s="11" t="s">
        <v>48</v>
      </c>
      <c r="C57" s="12" t="s">
        <v>42</v>
      </c>
      <c r="D57" s="11">
        <v>1000000</v>
      </c>
      <c r="E57" s="11" t="s">
        <v>96</v>
      </c>
      <c r="F57" s="11">
        <v>1</v>
      </c>
      <c r="G57" s="11" t="s">
        <v>94</v>
      </c>
      <c r="H57" s="11">
        <v>60</v>
      </c>
      <c r="I57" s="11" t="s">
        <v>95</v>
      </c>
      <c r="J57" s="11">
        <v>2</v>
      </c>
      <c r="K57" s="11"/>
      <c r="L57" s="11"/>
      <c r="M57" s="11"/>
      <c r="N57" s="11"/>
      <c r="O57" s="11"/>
    </row>
    <row r="58" spans="1:15" s="7" customFormat="1" x14ac:dyDescent="0.45">
      <c r="A58" s="11" t="s">
        <v>41</v>
      </c>
      <c r="B58" s="11" t="s">
        <v>49</v>
      </c>
      <c r="C58" s="12" t="s">
        <v>6</v>
      </c>
      <c r="D58" s="11">
        <v>1</v>
      </c>
      <c r="E58" s="11"/>
      <c r="F58" s="11"/>
      <c r="G58" s="11"/>
      <c r="H58" s="11"/>
      <c r="I58" s="11"/>
      <c r="J58" s="11"/>
      <c r="K58" s="11"/>
      <c r="L58" s="11"/>
      <c r="M58" s="11"/>
      <c r="N58" s="11"/>
      <c r="O58" s="11"/>
    </row>
    <row r="59" spans="1:15" s="7" customFormat="1" x14ac:dyDescent="0.45">
      <c r="A59" s="11" t="s">
        <v>41</v>
      </c>
      <c r="B59" s="11" t="s">
        <v>50</v>
      </c>
      <c r="C59" s="12" t="s">
        <v>116</v>
      </c>
      <c r="D59" s="11">
        <v>0</v>
      </c>
      <c r="E59" s="11" t="s">
        <v>78</v>
      </c>
      <c r="F59" s="11">
        <v>1E-4</v>
      </c>
      <c r="G59" s="11"/>
      <c r="H59" s="11"/>
      <c r="J59" s="11"/>
      <c r="K59" s="11"/>
      <c r="L59" s="11"/>
      <c r="M59" s="11"/>
      <c r="N59" s="11"/>
      <c r="O59" s="11"/>
    </row>
    <row r="60" spans="1:15" s="7" customFormat="1" x14ac:dyDescent="0.45">
      <c r="A60" s="11" t="s">
        <v>41</v>
      </c>
      <c r="B60" s="11" t="s">
        <v>51</v>
      </c>
      <c r="C60" s="11" t="s">
        <v>34</v>
      </c>
      <c r="D60" s="11">
        <v>0</v>
      </c>
      <c r="E60" s="11" t="s">
        <v>91</v>
      </c>
      <c r="F60" s="11">
        <v>0.5</v>
      </c>
      <c r="G60" s="11"/>
      <c r="H60" s="11"/>
      <c r="I60" s="11"/>
      <c r="J60" s="11"/>
      <c r="K60" s="11"/>
      <c r="L60" s="11"/>
      <c r="N60" s="11"/>
      <c r="O60" s="11"/>
    </row>
    <row r="61" spans="1:15" s="7" customFormat="1" x14ac:dyDescent="0.45">
      <c r="A61" s="11" t="s">
        <v>43</v>
      </c>
      <c r="B61" s="11" t="s">
        <v>48</v>
      </c>
      <c r="C61" s="12" t="s">
        <v>42</v>
      </c>
      <c r="D61" s="11">
        <v>1000000</v>
      </c>
      <c r="E61" s="11" t="s">
        <v>96</v>
      </c>
      <c r="F61" s="11">
        <v>1</v>
      </c>
      <c r="G61" s="11" t="s">
        <v>94</v>
      </c>
      <c r="H61" s="11">
        <v>30</v>
      </c>
      <c r="I61" s="11" t="s">
        <v>95</v>
      </c>
      <c r="J61" s="11">
        <v>2</v>
      </c>
      <c r="K61" s="11"/>
      <c r="L61" s="11"/>
      <c r="M61" s="11"/>
      <c r="N61" s="11"/>
      <c r="O61" s="11"/>
    </row>
    <row r="62" spans="1:15" s="7" customFormat="1" x14ac:dyDescent="0.45">
      <c r="A62" s="11" t="s">
        <v>43</v>
      </c>
      <c r="B62" s="11" t="s">
        <v>49</v>
      </c>
      <c r="C62" s="12" t="s">
        <v>7</v>
      </c>
      <c r="D62" s="11">
        <v>1</v>
      </c>
      <c r="E62" s="11"/>
      <c r="F62" s="11"/>
      <c r="G62" s="11"/>
      <c r="H62" s="11"/>
      <c r="I62" s="11"/>
      <c r="J62" s="11"/>
      <c r="K62" s="11"/>
      <c r="L62" s="11"/>
      <c r="M62" s="11"/>
      <c r="N62" s="11"/>
      <c r="O62" s="11"/>
    </row>
    <row r="63" spans="1:15" s="7" customFormat="1" x14ac:dyDescent="0.45">
      <c r="A63" s="11" t="s">
        <v>43</v>
      </c>
      <c r="B63" s="11" t="s">
        <v>50</v>
      </c>
      <c r="C63" s="12" t="s">
        <v>116</v>
      </c>
      <c r="D63" s="11">
        <v>0</v>
      </c>
      <c r="E63" s="11" t="s">
        <v>78</v>
      </c>
      <c r="F63" s="11">
        <v>1E-4</v>
      </c>
      <c r="G63" s="11"/>
      <c r="H63" s="11"/>
      <c r="I63" s="11"/>
      <c r="J63" s="11"/>
      <c r="K63" s="11"/>
      <c r="L63" s="11"/>
      <c r="M63" s="11"/>
      <c r="N63" s="11"/>
      <c r="O63" s="11"/>
    </row>
    <row r="64" spans="1:15" s="7" customFormat="1" x14ac:dyDescent="0.45">
      <c r="A64" s="11" t="s">
        <v>43</v>
      </c>
      <c r="B64" s="11" t="s">
        <v>51</v>
      </c>
      <c r="C64" s="11" t="s">
        <v>34</v>
      </c>
      <c r="D64" s="11">
        <v>0</v>
      </c>
      <c r="E64" s="11"/>
      <c r="F64" s="11"/>
      <c r="G64" s="11"/>
      <c r="H64" s="11"/>
      <c r="I64" s="11"/>
      <c r="J64" s="11"/>
      <c r="K64" s="11"/>
      <c r="L64" s="11"/>
      <c r="M64" s="11"/>
      <c r="N64" s="11"/>
      <c r="O64" s="11"/>
    </row>
    <row r="65" spans="1:15" s="7" customFormat="1" x14ac:dyDescent="0.45">
      <c r="A65" s="11" t="s">
        <v>44</v>
      </c>
      <c r="B65" s="11" t="s">
        <v>48</v>
      </c>
      <c r="C65" s="12" t="s">
        <v>42</v>
      </c>
      <c r="D65" s="11">
        <v>1000000</v>
      </c>
      <c r="E65" s="11" t="s">
        <v>96</v>
      </c>
      <c r="F65" s="11">
        <v>0.5</v>
      </c>
      <c r="G65" s="11" t="s">
        <v>94</v>
      </c>
      <c r="H65" s="11">
        <v>30</v>
      </c>
      <c r="I65" s="11" t="s">
        <v>95</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116</v>
      </c>
      <c r="D67" s="11">
        <v>0</v>
      </c>
      <c r="E67" s="11" t="s">
        <v>78</v>
      </c>
      <c r="F67" s="11">
        <v>1E-4</v>
      </c>
      <c r="G67" s="11"/>
      <c r="H67" s="11"/>
      <c r="I67" s="11"/>
      <c r="J67" s="11"/>
      <c r="K67" s="11"/>
      <c r="L67" s="11"/>
      <c r="M67" s="11"/>
      <c r="N67" s="11"/>
      <c r="O67" s="11"/>
    </row>
    <row r="68" spans="1:15" s="7" customFormat="1" x14ac:dyDescent="0.45">
      <c r="A68" s="11" t="s">
        <v>44</v>
      </c>
      <c r="B68" s="11" t="s">
        <v>51</v>
      </c>
      <c r="C68" s="11" t="s">
        <v>34</v>
      </c>
      <c r="D68" s="11">
        <v>0</v>
      </c>
      <c r="E68" s="11"/>
      <c r="F68" s="11"/>
      <c r="G68" s="11"/>
      <c r="H68" s="11"/>
      <c r="I68" s="11"/>
      <c r="J68" s="11"/>
      <c r="K68" s="11"/>
      <c r="L68" s="11"/>
      <c r="M68" s="11"/>
      <c r="N68" s="11"/>
      <c r="O68" s="11"/>
    </row>
    <row r="69" spans="1:15" s="7" customFormat="1" x14ac:dyDescent="0.45">
      <c r="A69" s="11" t="s">
        <v>45</v>
      </c>
      <c r="B69" s="11" t="s">
        <v>48</v>
      </c>
      <c r="C69" s="12" t="s">
        <v>42</v>
      </c>
      <c r="D69" s="11">
        <v>2000000</v>
      </c>
      <c r="E69" s="11" t="s">
        <v>96</v>
      </c>
      <c r="F69" s="11">
        <v>0</v>
      </c>
      <c r="G69" s="11" t="s">
        <v>94</v>
      </c>
      <c r="H69" s="11">
        <v>200</v>
      </c>
      <c r="I69" s="11" t="s">
        <v>95</v>
      </c>
      <c r="J69" s="11">
        <v>2</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116</v>
      </c>
      <c r="D71" s="11">
        <v>0</v>
      </c>
      <c r="E71" s="11" t="s">
        <v>78</v>
      </c>
      <c r="F71" s="11">
        <v>0.01</v>
      </c>
      <c r="G71" s="11"/>
      <c r="H71" s="11"/>
      <c r="I71" s="11"/>
      <c r="J71" s="11"/>
      <c r="K71" s="11"/>
      <c r="L71" s="11"/>
      <c r="M71" s="11"/>
      <c r="N71" s="11"/>
      <c r="O71" s="11"/>
    </row>
    <row r="72" spans="1:15" s="7" customFormat="1" x14ac:dyDescent="0.45">
      <c r="A72" s="11" t="s">
        <v>45</v>
      </c>
      <c r="B72" s="11" t="s">
        <v>51</v>
      </c>
      <c r="C72" s="11" t="s">
        <v>34</v>
      </c>
      <c r="D72" s="11">
        <v>0</v>
      </c>
      <c r="E72" s="11" t="s">
        <v>91</v>
      </c>
      <c r="F72" s="11">
        <v>0</v>
      </c>
      <c r="G72" s="11" t="s">
        <v>76</v>
      </c>
      <c r="H72" s="11">
        <v>0.5</v>
      </c>
      <c r="K72" s="11"/>
      <c r="L72" s="11"/>
      <c r="M72" s="11"/>
      <c r="N72" s="11"/>
      <c r="O72" s="11"/>
    </row>
    <row r="73" spans="1:15" s="7" customFormat="1" x14ac:dyDescent="0.45">
      <c r="A73" s="11" t="s">
        <v>46</v>
      </c>
      <c r="B73" s="11" t="s">
        <v>48</v>
      </c>
      <c r="C73" s="12" t="s">
        <v>42</v>
      </c>
      <c r="D73" s="11">
        <v>1000000</v>
      </c>
      <c r="E73" s="11" t="s">
        <v>96</v>
      </c>
      <c r="F73" s="11">
        <v>0</v>
      </c>
      <c r="G73" s="11" t="s">
        <v>94</v>
      </c>
      <c r="H73" s="11">
        <v>30</v>
      </c>
      <c r="I73" s="11" t="s">
        <v>95</v>
      </c>
      <c r="J73" s="11">
        <v>10</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116</v>
      </c>
      <c r="D75" s="11">
        <v>0</v>
      </c>
      <c r="E75" s="11" t="s">
        <v>78</v>
      </c>
      <c r="F75" s="11">
        <v>1E-4</v>
      </c>
      <c r="G75" s="11"/>
      <c r="H75" s="11"/>
      <c r="I75" s="11"/>
      <c r="J75" s="11"/>
      <c r="K75" s="11"/>
      <c r="L75" s="11"/>
      <c r="M75" s="11"/>
      <c r="N75" s="11"/>
      <c r="O75" s="11"/>
    </row>
    <row r="76" spans="1:15" s="7" customFormat="1" x14ac:dyDescent="0.45">
      <c r="A76" s="11" t="s">
        <v>46</v>
      </c>
      <c r="B76" s="11" t="s">
        <v>51</v>
      </c>
      <c r="C76" s="11" t="s">
        <v>34</v>
      </c>
      <c r="D76" s="11">
        <v>0</v>
      </c>
      <c r="E76" s="11"/>
      <c r="F76" s="11"/>
      <c r="G76" s="11"/>
      <c r="I76" s="11"/>
      <c r="J76" s="11"/>
      <c r="K76" s="11"/>
      <c r="L76" s="11"/>
      <c r="M76" s="11"/>
      <c r="N76" s="11"/>
      <c r="O76" s="11"/>
    </row>
    <row r="77" spans="1:15" s="7" customFormat="1" x14ac:dyDescent="0.4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116</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140</v>
      </c>
      <c r="B81" s="11" t="s">
        <v>48</v>
      </c>
      <c r="C81" s="12" t="s">
        <v>42</v>
      </c>
      <c r="D81" s="11">
        <v>1</v>
      </c>
      <c r="E81" s="11" t="s">
        <v>96</v>
      </c>
      <c r="F81" s="11">
        <v>0</v>
      </c>
      <c r="G81" s="11" t="s">
        <v>94</v>
      </c>
      <c r="H81" s="11">
        <v>200</v>
      </c>
      <c r="I81" s="11" t="s">
        <v>95</v>
      </c>
      <c r="J81" s="11">
        <v>0</v>
      </c>
      <c r="K81" s="11"/>
      <c r="L81" s="11"/>
      <c r="M81" s="11"/>
      <c r="N81" s="11"/>
      <c r="O81" s="11"/>
    </row>
    <row r="82" spans="1:16" s="7" customFormat="1" x14ac:dyDescent="0.45">
      <c r="A82" s="11" t="s">
        <v>140</v>
      </c>
      <c r="B82" s="11" t="s">
        <v>49</v>
      </c>
      <c r="C82" s="12" t="s">
        <v>9</v>
      </c>
      <c r="D82" s="11">
        <v>1</v>
      </c>
      <c r="E82" s="11"/>
      <c r="F82" s="11"/>
      <c r="G82" s="11"/>
      <c r="H82" s="11"/>
      <c r="I82" s="11"/>
      <c r="J82" s="11"/>
      <c r="K82" s="11"/>
      <c r="L82" s="11"/>
      <c r="M82" s="11"/>
      <c r="N82" s="11"/>
      <c r="O82" s="11"/>
    </row>
    <row r="83" spans="1:16" s="7" customFormat="1" x14ac:dyDescent="0.45">
      <c r="A83" s="11" t="s">
        <v>140</v>
      </c>
      <c r="B83" s="11" t="s">
        <v>50</v>
      </c>
      <c r="C83" s="12" t="s">
        <v>116</v>
      </c>
      <c r="D83" s="11">
        <v>0</v>
      </c>
      <c r="E83" s="11" t="s">
        <v>58</v>
      </c>
      <c r="F83" s="11">
        <v>1</v>
      </c>
      <c r="G83" s="11" t="s">
        <v>78</v>
      </c>
      <c r="H83" s="11">
        <v>1E-4</v>
      </c>
      <c r="L83" s="11"/>
      <c r="M83" s="11"/>
      <c r="N83" s="11"/>
      <c r="O83" s="11"/>
    </row>
    <row r="84" spans="1:16" s="7" customFormat="1" x14ac:dyDescent="0.45">
      <c r="A84" s="11" t="s">
        <v>140</v>
      </c>
      <c r="B84" s="11" t="s">
        <v>51</v>
      </c>
      <c r="C84" s="11" t="s">
        <v>34</v>
      </c>
      <c r="D84" s="11">
        <v>0</v>
      </c>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2019-01-04T19:21:06Z</dcterms:modified>
</cp:coreProperties>
</file>
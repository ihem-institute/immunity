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70" i="4" l="1"/>
  <c r="D72" i="4" s="1"/>
  <c r="F69" i="4"/>
  <c r="D69" i="4"/>
  <c r="F65" i="4"/>
  <c r="D65" i="4"/>
  <c r="D66" i="4" s="1"/>
  <c r="F61" i="4"/>
  <c r="D61" i="4"/>
  <c r="D64" i="4" s="1"/>
  <c r="F57" i="4"/>
  <c r="D57" i="4"/>
  <c r="D58" i="4" s="1"/>
  <c r="D54" i="4"/>
  <c r="F53" i="4"/>
  <c r="D53" i="4"/>
  <c r="F49" i="4"/>
  <c r="D51" i="4" s="1"/>
  <c r="D49" i="4"/>
  <c r="D50" i="4" s="1"/>
  <c r="I7" i="4"/>
  <c r="G7" i="4"/>
  <c r="C7" i="4"/>
  <c r="G2" i="4"/>
  <c r="D52" i="4" l="1"/>
  <c r="H52" i="4"/>
  <c r="D62" i="4"/>
  <c r="H52" i="1"/>
  <c r="D72" i="1"/>
  <c r="D52" i="1"/>
  <c r="D51" i="1"/>
  <c r="D64" i="1" l="1"/>
  <c r="C7" i="1" l="1"/>
  <c r="I7" i="1"/>
  <c r="G7" i="1" l="1"/>
  <c r="G2" i="1" l="1"/>
  <c r="F65" i="1" l="1"/>
  <c r="F57" i="1"/>
  <c r="F53" i="1"/>
  <c r="D65" i="1"/>
  <c r="D53" i="1"/>
  <c r="F61" i="1"/>
  <c r="D57" i="1"/>
  <c r="F69" i="1" l="1"/>
  <c r="D69" i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66" i="1"/>
  <c r="D50" i="1"/>
  <c r="D58" i="1" l="1"/>
</calcChain>
</file>

<file path=xl/sharedStrings.xml><?xml version="1.0" encoding="utf-8"?>
<sst xmlns="http://schemas.openxmlformats.org/spreadsheetml/2006/main" count="801" uniqueCount="88">
  <si>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</si>
  <si>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</si>
  <si>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</si>
  <si>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</si>
  <si>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</si>
  <si>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</si>
  <si>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</si>
  <si>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</si>
  <si>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</si>
  <si>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</si>
  <si>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</si>
  <si>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</si>
  <si>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</si>
  <si>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</si>
  <si>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</si>
  <si>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</si>
  <si>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</si>
  <si>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</si>
  <si>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</si>
  <si>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</si>
  <si>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</si>
  <si>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</si>
  <si>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</si>
  <si>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</si>
  <si>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</si>
  <si>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</si>
  <si>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</si>
  <si>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</si>
  <si>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</si>
  <si>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</si>
  <si>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</si>
  <si>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</si>
  <si>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</si>
  <si>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</si>
  <si>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</si>
  <si>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</si>
  <si>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</si>
  <si>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</si>
  <si>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</si>
  <si>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</si>
  <si>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</si>
  <si>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</si>
  <si>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</si>
  <si>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</si>
  <si>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</si>
  <si>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</si>
  <si>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</si>
  <si>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</si>
  <si>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</si>
  <si>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</si>
  <si>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</si>
  <si>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</si>
  <si>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</si>
  <si>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</si>
  <si>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</si>
  <si>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</si>
  <si>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</si>
  <si>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</si>
  <si>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</si>
  <si>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</si>
  <si>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</si>
  <si>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</si>
  <si>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</si>
  <si>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</si>
  <si>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</si>
  <si>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</si>
  <si>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</si>
  <si>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</si>
  <si>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</si>
  <si>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</si>
  <si>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</si>
  <si>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</si>
  <si>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</si>
  <si>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</si>
  <si>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</si>
  <si>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</si>
  <si>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</si>
  <si>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</si>
  <si>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</si>
  <si>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</si>
  <si>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</si>
  <si>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</si>
  <si>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</si>
  <si>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</si>
  <si>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</si>
  <si>
    <t>vATPase</t>
  </si>
  <si>
    <t>cMHCI</t>
  </si>
  <si>
    <t>proton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</si>
</sst>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tabSelected="1" topLeftCell="A45" zoomScale="95" zoomScaleNormal="95" workbookViewId="0">
      <selection activeCell="C52" sqref="C52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75</v>
      </c>
      <c r="C6" s="2">
        <v>0</v>
      </c>
    </row>
    <row r="7" spans="1:31" x14ac:dyDescent="0.6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15" s="13" customFormat="1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11</v>
      </c>
    </row>
    <row r="30" spans="1:15" x14ac:dyDescent="0.65">
      <c r="A30" s="1" t="s">
        <v>34</v>
      </c>
      <c r="B30" s="1" t="s">
        <v>86</v>
      </c>
      <c r="D30" s="1" t="s">
        <v>7</v>
      </c>
      <c r="E30" s="1" t="s">
        <v>8</v>
      </c>
    </row>
    <row r="31" spans="1:15" x14ac:dyDescent="0.65">
      <c r="A31" s="1" t="s">
        <v>34</v>
      </c>
      <c r="B31" s="1" t="s">
        <v>85</v>
      </c>
      <c r="C31" s="2" t="s">
        <v>6</v>
      </c>
      <c r="D31" s="1" t="s">
        <v>9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 t="s">
        <v>9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f>F49</f>
        <v>904778.68423386035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f>D49</f>
        <v>45238.93421169302</v>
      </c>
      <c r="E52" s="1" t="s">
        <v>35</v>
      </c>
      <c r="F52" s="1">
        <v>0</v>
      </c>
      <c r="G52" s="1" t="s">
        <v>85</v>
      </c>
      <c r="H52" s="1">
        <f>D49/10</f>
        <v>4523.8934211693022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f>D61</f>
        <v>180955.73684677208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45238.93421169302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N76"/>
  <sheetViews>
    <sheetView topLeftCell="A36" zoomScale="78" zoomScaleNormal="78" workbookViewId="0">
      <selection activeCell="A57" sqref="A57"/>
    </sheetView>
  </sheetViews>
  <sheetFormatPr baseColWidth="10" defaultRowHeight="14.25" x14ac:dyDescent="0.65"/>
  <cols>
    <col min="1" max="1" width="10.90625" style="1"/>
    <col min="2" max="2" width="23.7265625" style="1" customWidth="1"/>
    <col min="3" max="3" width="10.90625" style="2"/>
    <col min="4" max="5" width="10.90625" style="1"/>
    <col min="6" max="6" width="13.7265625" style="1" customWidth="1"/>
    <col min="7" max="15" width="10.90625" style="1"/>
  </cols>
  <sheetData>
    <row r="1" spans="1:40" x14ac:dyDescent="0.65">
      <c r="A1" s="1" t="s">
        <v>0</v>
      </c>
    </row>
    <row r="2" spans="1:40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40" x14ac:dyDescent="0.65">
      <c r="A3" s="1" t="s">
        <v>11</v>
      </c>
    </row>
    <row r="4" spans="1:40" x14ac:dyDescent="0.65">
      <c r="A4" s="1" t="s">
        <v>11</v>
      </c>
    </row>
    <row r="5" spans="1:40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40" x14ac:dyDescent="0.65">
      <c r="A6" s="1" t="s">
        <v>76</v>
      </c>
      <c r="B6" s="1" t="s">
        <v>75</v>
      </c>
      <c r="C6" s="2">
        <v>0</v>
      </c>
    </row>
    <row r="7" spans="1:40" x14ac:dyDescent="0.6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40" x14ac:dyDescent="0.65">
      <c r="A8" s="1" t="s">
        <v>11</v>
      </c>
    </row>
    <row r="9" spans="1:40" x14ac:dyDescent="0.65">
      <c r="A9" s="1" t="s">
        <v>11</v>
      </c>
    </row>
    <row r="10" spans="1:40" x14ac:dyDescent="0.65">
      <c r="A10" s="1" t="s">
        <v>11</v>
      </c>
    </row>
    <row r="11" spans="1:40" x14ac:dyDescent="0.65">
      <c r="A11" s="1" t="s">
        <v>11</v>
      </c>
    </row>
    <row r="12" spans="1:40" x14ac:dyDescent="0.65">
      <c r="A12" s="1" t="s">
        <v>11</v>
      </c>
    </row>
    <row r="13" spans="1:40" x14ac:dyDescent="0.65">
      <c r="A13" s="1" t="s">
        <v>11</v>
      </c>
    </row>
    <row r="14" spans="1:40" x14ac:dyDescent="0.65">
      <c r="A14" s="1" t="s">
        <v>11</v>
      </c>
    </row>
    <row r="15" spans="1:40" x14ac:dyDescent="0.65">
      <c r="A15" s="1" t="s">
        <v>12</v>
      </c>
    </row>
    <row r="16" spans="1:40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65">
      <c r="A17" s="1" t="s">
        <v>11</v>
      </c>
    </row>
    <row r="18" spans="1:40" x14ac:dyDescent="0.65">
      <c r="A18" s="1" t="s">
        <v>11</v>
      </c>
    </row>
    <row r="19" spans="1:40" x14ac:dyDescent="0.65">
      <c r="A19" s="1" t="s">
        <v>11</v>
      </c>
    </row>
    <row r="20" spans="1:40" x14ac:dyDescent="0.65">
      <c r="A20" s="1" t="s">
        <v>11</v>
      </c>
    </row>
    <row r="21" spans="1:40" x14ac:dyDescent="0.65">
      <c r="A21" s="1" t="s">
        <v>11</v>
      </c>
    </row>
    <row r="22" spans="1:40" x14ac:dyDescent="0.65">
      <c r="A22" s="1" t="s">
        <v>11</v>
      </c>
    </row>
    <row r="23" spans="1:40" x14ac:dyDescent="0.65">
      <c r="A23" s="1" t="s">
        <v>11</v>
      </c>
    </row>
    <row r="24" spans="1:40" x14ac:dyDescent="0.65">
      <c r="A24" s="1" t="s">
        <v>11</v>
      </c>
    </row>
    <row r="25" spans="1:40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40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40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65">
      <c r="A29" s="1" t="s">
        <v>11</v>
      </c>
    </row>
    <row r="30" spans="1:40" x14ac:dyDescent="0.65">
      <c r="A30" s="1" t="s">
        <v>34</v>
      </c>
      <c r="B30" s="1" t="s">
        <v>86</v>
      </c>
      <c r="D30" s="1" t="s">
        <v>7</v>
      </c>
      <c r="E30" s="1" t="s">
        <v>8</v>
      </c>
    </row>
    <row r="31" spans="1:40" x14ac:dyDescent="0.65">
      <c r="A31" s="1" t="s">
        <v>34</v>
      </c>
      <c r="B31" s="1" t="s">
        <v>85</v>
      </c>
      <c r="C31" s="2" t="s">
        <v>6</v>
      </c>
      <c r="D31" s="1" t="s">
        <v>9</v>
      </c>
    </row>
    <row r="32" spans="1:40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6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65">
      <c r="A36" s="9" t="s">
        <v>34</v>
      </c>
      <c r="B36" s="9" t="s">
        <v>23</v>
      </c>
      <c r="C36" s="10" t="s">
        <v>9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6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</row>
    <row r="42" spans="1:40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</row>
    <row r="43" spans="1:40" x14ac:dyDescent="0.65">
      <c r="A43" s="1" t="s">
        <v>11</v>
      </c>
    </row>
    <row r="44" spans="1:40" x14ac:dyDescent="0.65">
      <c r="A44" s="1" t="s">
        <v>11</v>
      </c>
    </row>
    <row r="45" spans="1:40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40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40" x14ac:dyDescent="0.65">
      <c r="A47" s="1" t="s">
        <v>57</v>
      </c>
    </row>
    <row r="48" spans="1:40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f>F49</f>
        <v>904778.68423386035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f>D49</f>
        <v>45238.93421169302</v>
      </c>
      <c r="E52" s="1" t="s">
        <v>35</v>
      </c>
      <c r="F52" s="1">
        <v>0</v>
      </c>
      <c r="G52" s="1" t="s">
        <v>85</v>
      </c>
      <c r="H52" s="1">
        <f>D49/10</f>
        <v>4523.8934211693022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f>D61</f>
        <v>180955.73684677208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45238.93421169302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>
      <selection activeCell="A12" sqref="A12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2" x14ac:dyDescent="0.65">
      <c r="A1" t="s">
        <v>69</v>
      </c>
      <c r="I1" t="s">
        <v>67</v>
      </c>
      <c r="J1" t="s">
        <v>68</v>
      </c>
      <c r="K1" t="s">
        <v>75</v>
      </c>
    </row>
    <row r="2" spans="1:12" x14ac:dyDescent="0.65">
      <c r="A2" s="4" t="s">
        <v>8</v>
      </c>
      <c r="B2" s="5" t="s">
        <v>10</v>
      </c>
      <c r="C2" s="6" t="s">
        <v>6</v>
      </c>
      <c r="E2" s="4" t="s">
        <v>23</v>
      </c>
      <c r="F2" s="5" t="s">
        <v>24</v>
      </c>
      <c r="G2" s="6" t="s">
        <v>27</v>
      </c>
      <c r="I2" s="8">
        <v>45000</v>
      </c>
      <c r="J2" s="8">
        <v>300000</v>
      </c>
      <c r="K2" s="8">
        <v>10</v>
      </c>
    </row>
    <row r="3" spans="1:12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45000</v>
      </c>
      <c r="J4" s="7">
        <v>300000</v>
      </c>
      <c r="K4" s="7">
        <v>10</v>
      </c>
    </row>
    <row r="5" spans="1:12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65">
      <c r="E8" s="1" t="s">
        <v>29</v>
      </c>
      <c r="F8" s="1" t="s">
        <v>29</v>
      </c>
      <c r="G8" s="1" t="s">
        <v>29</v>
      </c>
    </row>
    <row r="9" spans="1:12" x14ac:dyDescent="0.65">
      <c r="E9" s="1" t="s">
        <v>30</v>
      </c>
      <c r="F9" s="1" t="s">
        <v>30</v>
      </c>
      <c r="G9" s="1" t="s">
        <v>30</v>
      </c>
    </row>
    <row r="10" spans="1:12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65">
      <c r="E11" s="1" t="s">
        <v>73</v>
      </c>
      <c r="F11" s="1" t="s">
        <v>73</v>
      </c>
      <c r="G11" s="1" t="s">
        <v>73</v>
      </c>
      <c r="L11" s="1"/>
    </row>
    <row r="12" spans="1:12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2017-12-28T17:00:59Z</dcterms:modified>
</cp:coreProperties>
</file>
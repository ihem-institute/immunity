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1" l="1"/>
  <c r="N50" i="1"/>
  <c r="N51" i="1"/>
  <c r="N5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2" i="1"/>
</calcChain>
</file>

<file path=xl/sharedStrings.xml><?xml version="1.0" encoding="utf-8"?>
<sst xmlns="http://schemas.openxmlformats.org/spreadsheetml/2006/main" count="18" uniqueCount="15">
  <si>
    <t>p1</t>
  </si>
  <si>
    <t>p2</t>
  </si>
  <si>
    <t>mHCI</t>
  </si>
  <si>
    <t>vATPase</t>
  </si>
  <si>
    <t>cMHCI</t>
  </si>
  <si>
    <t>protonCy</t>
  </si>
  <si>
    <t>preP</t>
  </si>
  <si>
    <t>ova</t>
  </si>
  <si>
    <t>mHCI-pept</t>
  </si>
  <si>
    <t>pept</t>
  </si>
  <si>
    <t>proton</t>
  </si>
  <si>
    <t>ticks</t>
  </si>
  <si>
    <t>d</t>
  </si>
  <si>
    <t>dd</t>
  </si>
  <si>
    <t>{20740={p1=0.0, p2=0.0, mHCI=0.0, vATPase=0.0, cMHCI=0.0, protonCy=1.0E-4, preP=1.0E-4, ova=0.0, mHCI-pept=0.0, pept=2.0, proton=6.321203696226764E-5}, 19973={p1=0.0, p2=0.0, mHCI=0.0, vATPase=0.0, cMHCI=0.0, protonCy=1.0E-4, preP=1.0E-4, ova=0.0, mHCI-pept=0.0, pept=2.0, proton=7.688362658631702E-6}, 20357={p1=0.0, p2=0.0, mHCI=0.0, vATPase=0.0, cMHCI=0.0, protonCy=1.0E-4, preP=1.0E-4, ova=0.0, mHCI-pept=0.0, pept=2.0, proton=4.172516330484697E-5}, 20490={p1=0.0, p2=0.0, mHCI=0.0, vATPase=0.0, cMHCI=0.0, protonCy=1.0E-4, preP=1.0E-4, ova=0.0, mHCI-pept=0.0, pept=2.0, proton=5.034145390070024E-5}, 20107={p1=0.0, p2=0.0, mHCI=0.0, vATPase=0.0, cMHCI=0.0, protonCy=1.0E-4, preP=1.0E-4, ova=0.0, mHCI-pept=0.0, pept=2.0, proton=2.1337213155159626E-5}, 20623={p1=0.0, p2=0.0, mHCI=0.0, vATPase=0.0, cMHCI=0.0, protonCy=1.0E-4, preP=1.0E-4, ova=0.0, mHCI-pept=0.0, pept=2.0, proton=5.7683773390621886E-5}, 20240={p1=0.0, p2=0.0, mHCI=0.0, vATPase=0.0, cMHCI=0.0, protonCy=1.0E-4, preP=1.0E-4, ova=0.0, mHCI-pept=0.0, pept=2.0, proton=3.296800096271954E-5}, 20373={p1=0.0, p2=0.0, mHCI=0.0, vATPase=0.0, cMHCI=0.0, protonCy=1.0E-4, preP=1.0E-4, ova=0.0, mHCI-pept=0.0, pept=2.0, proton=4.287908054057772E-5}, 19990={p1=0.0, p2=0.0, mHCI=0.0, vATPase=0.0, cMHCI=0.0, protonCy=1.0E-4, preP=1.0E-4, ova=0.0, mHCI-pept=0.0, pept=2.0, proton=9.516255639686584E-6}, 20123={p1=0.0, p2=0.0, mHCI=0.0, vATPase=0.0, cMHCI=0.0, protonCy=1.0E-4, preP=1.0E-4, ova=0.0, mHCI-pept=0.0, pept=2.0, proton=2.2894842782272946E-5}, 20507={p1=0.0, p2=0.0, mHCI=0.0, vATPase=0.0, cMHCI=0.0, protonCy=1.0E-4, preP=1.0E-4, ova=0.0, mHCI-pept=0.0, pept=2.0, proton=5.132475832881268E-5}, 20640={p1=0.0, p2=0.0, mHCI=0.0, vATPase=0.0, cMHCI=0.0, protonCy=1.0E-4, preP=1.0E-4, ova=0.0, mHCI-pept=0.0, pept=2.0, proton=5.852169094718944E-5}, 20257={p1=0.0, p2=0.0, mHCI=0.0, vATPase=0.0, cMHCI=0.0, protonCy=1.0E-4, preP=1.0E-4, ova=0.0, mHCI-pept=0.0, pept=2.0, proton=3.4295318854731094E-5}, 20390={p1=0.0, p2=0.0, mHCI=0.0, vATPase=0.0, cMHCI=0.0, protonCy=1.0E-4, preP=1.0E-4, ova=0.0, mHCI-pept=0.0, pept=2.0, proton=4.4010148897550045E-5}, 20007={p1=0.0, p2=0.0, mHCI=0.0, vATPase=0.0, cMHCI=0.0, protonCy=1.0E-4, preP=1.0E-4, ova=0.0, mHCI-pept=0.0, pept=2.0, proton=1.1307954238815788E-5}, 20523={p1=0.0, p2=0.0, mHCI=0.0, vATPase=0.0, cMHCI=0.0, protonCy=1.0E-4, preP=1.0E-4, ova=0.0, mHCI-pept=0.0, pept=2.0, proton=5.228859264690788E-5}, 20140={p1=0.0, p2=0.0, mHCI=0.0, vATPase=0.0, cMHCI=0.0, protonCy=1.0E-4, preP=1.0E-4, ova=0.0, mHCI-pept=0.0, pept=2.0, proton=2.4421630237755154E-5}, 20273={p1=0.0, p2=0.0, mHCI=0.0, vATPase=0.0, cMHCI=0.0, protonCy=1.0E-4, preP=1.0E-4, ova=0.0, mHCI-pept=0.0, pept=2.0, proton=3.559635375896908E-5}, 20657={p1=0.0, p2=0.0, mHCI=0.0, vATPase=0.0, cMHCI=0.0, protonCy=1.0E-4, preP=1.0E-4, ova=0.0, mHCI-pept=0.0, pept=2.0, proton=5.9343016228370946E-5}, 20023={p1=0.0, p2=0.0, mHCI=0.0, vATPase=0.0, cMHCI=0.0, protonCy=1.0E-4, preP=1.0E-4, ova=0.0, mHCI-pept=0.0, pept=2.0, proton=1.3064174549995494E-5}, 20407={p1=0.0, p2=0.0, mHCI=0.0, vATPase=0.0, cMHCI=0.0, protonCy=1.0E-4, preP=1.0E-4, ova=0.0, mHCI-pept=0.0, pept=2.0, proton=4.511882156027264E-5}, 20540={p1=0.0, p2=0.0, mHCI=0.0, vATPase=0.0, cMHCI=0.0, protonCy=1.0E-4, preP=1.0E-4, ova=0.0, mHCI-pept=0.0, pept=2.0, proton=5.323334157199967E-5}, 20157={p1=0.0, p2=0.0, mHCI=0.0, vATPase=0.0, cMHCI=0.0, protonCy=1.0E-4, preP=1.0E-4, ova=0.0, mHCI-pept=0.0, pept=2.0, proton=2.5918185672018675E-5}, 20673={p1=0.0, p2=0.0, mHCI=0.0, vATPase=0.0, cMHCI=0.0, protonCy=1.0E-4, preP=1.0E-4, ova=0.0, mHCI-pept=0.0, pept=2.0, proton=6.014807785576714E-5}, 20290={p1=0.0, p2=0.0, mHCI=0.0, vATPase=0.0, cMHCI=0.0, protonCy=1.0E-4, preP=1.0E-4, ova=0.0, mHCI-pept=0.0, pept=2.0, proton=3.687162752055761E-5}, 19907={p1=0.0, p2=0.0, mHCI=0.0, vATPase=0.0, cMHCI=0.0, protonCy=1.0E-4, preP=1.0E-4, ova=0.0, mHCI-pept=0.0, pept=2.0, proton=0.0}, 20423={p1=0.0, p2=0.0, mHCI=0.0, vATPase=0.0, cMHCI=0.0, protonCy=1.0E-4, preP=1.0E-4, ova=0.0, mHCI-pept=0.0, pept=2.0, proton=4.620554186101967E-5}, 20040={p1=0.0, p2=0.0, mHCI=0.0, vATPase=0.0, cMHCI=0.0, protonCy=1.0E-4, preP=1.0E-4, ova=0.0, mHCI-pept=0.0, pept=2.0, proton=1.4785619265640196E-5}, 20173={p1=0.0, p2=0.0, mHCI=0.0, vATPase=0.0, cMHCI=0.0, protonCy=1.0E-4, preP=1.0E-4, ova=0.0, mHCI-pept=0.0, pept=2.0, proton=2.7385106912914766E-5}, 20557={p1=0.0, p2=0.0, mHCI=0.0, vATPase=0.0, cMHCI=0.0, protonCy=1.0E-4, preP=1.0E-4, ova=0.0, mHCI-pept=0.0, pept=2.0, proton=5.415938283070457E-5}, 20690={p1=0.0, p2=0.0, mHCI=0.0, vATPase=0.0, cMHCI=0.0, protonCy=1.0E-4, preP=1.0E-4, ova=0.0, mHCI-pept=0.0, pept=2.0, proton=6.093719798642217E-5}, 19923={p1=0.0, p2=0.0, mHCI=0.0, vATPase=0.0, cMHCI=0.0, protonCy=1.0E-4, preP=1.0E-4, ova=0.0, mHCI-pept=0.0, pept=2.0, proton=1.9801314093123843E-6}, 20307={p1=0.0, p2=0.0, mHCI=0.0, vATPase=0.0, cMHCI=0.0, protonCy=1.0E-4, preP=1.0E-4, ova=0.0, mHCI-pept=0.0, pept=2.0, proton=3.812165201510751E-5}, 20440={p1=0.0, p2=0.0, mHCI=0.0, vATPase=0.0, cMHCI=0.0, protonCy=1.0E-4, preP=1.0E-4, ova=0.0, mHCI-pept=0.0, pept=2.0, proton=4.727074332153474E-5}, 20057={p1=0.0, p2=0.0, mHCI=0.0, vATPase=0.0, cMHCI=0.0, protonCy=1.0E-4, preP=1.0E-4, ova=0.0, mHCI-pept=0.0, pept=2.0, proton=1.6472977096424377E-5}, 20573={p1=0.0, p2=0.0, mHCI=0.0, vATPase=0.0, cMHCI=0.0, protonCy=1.0E-4, preP=1.0E-4, ova=0.0, mHCI-pept=0.0, pept=2.0, proton=5.506708691548813E-5}, 20190={p1=0.0, p2=0.0, mHCI=0.0, vATPase=0.0, cMHCI=0.0, protonCy=1.0E-4, preP=1.0E-4, ova=0.0, mHCI-pept=0.0, pept=2.0, proton=2.882297976248992E-5}, 20323={p1=0.0, p2=0.0, mHCI=0.0, vATPase=0.0, cMHCI=0.0, protonCy=1.0E-4, preP=1.0E-4, ova=0.0, mHCI-pept=0.0, pept=2.0, proton=3.934692487368388E-5}, 20707={p1=0.0, p2=0.0, mHCI=0.0, vATPase=0.0, cMHCI=0.0, protonCy=1.0E-4, preP=1.0E-4, ova=0.0, mHCI-pept=0.0, pept=2.0, proton=6.171069248042759E-5}, 19940={p1=0.0, p2=0.0, mHCI=0.0, vATPase=0.0, cMHCI=0.0, protonCy=1.0E-4, preP=1.0E-4, ova=0.0, mHCI-pept=0.0, pept=2.0, proton=3.92105369057037E-6}, 20073={p1=0.0, p2=0.0, mHCI=0.0, vATPase=0.0, cMHCI=0.0, protonCy=1.0E-4, preP=1.0E-4, ova=0.0, mHCI-pept=0.0, pept=2.0, proton=1.8126922988866515E-5}, 20457={p1=0.0, p2=0.0, mHCI=0.0, vATPase=0.0, cMHCI=0.0, protonCy=1.0E-4, preP=1.0E-4, ova=0.0, mHCI-pept=0.0, pept=2.0, proton=4.831485201539557E-5}, 20590={p1=0.0, p2=0.0, mHCI=0.0, vATPase=0.0, cMHCI=0.0, protonCy=1.0E-4, preP=1.0E-4, ova=0.0, mHCI-pept=0.0, pept=2.0, proton=5.595681709210862E-5}, 20207={p1=0.0, p2=0.0, mHCI=0.0, vATPase=0.0, cMHCI=0.0, protonCy=1.0E-4, preP=1.0E-4, ova=0.0, mHCI-pept=0.0, pept=2.0, proton=3.023237878539418E-5}, 20723={p1=0.0, p2=0.0, mHCI=0.0, vATPase=0.0, cMHCI=0.0, protonCy=1.0E-4, preP=1.0E-4, ova=0.0, mHCI-pept=0.0, pept=2.0, proton=6.246887106500741E-5}, 20340={p1=0.0, p2=0.0, mHCI=0.0, vATPase=0.0, cMHCI=0.0, protonCy=1.0E-4, preP=1.0E-4, ova=0.0, mHCI-pept=0.0, pept=2.0, proton=4.054793513601982E-5}, 19957={p1=0.0, p2=0.0, mHCI=0.0, vATPase=0.0, cMHCI=0.0, protonCy=1.0E-4, preP=1.0E-4, ova=0.0, mHCI-pept=0.0, pept=2.0, proton=5.823544035984337E-6}, 20473={p1=0.0, p2=0.0, mHCI=0.0, vATPase=0.0, cMHCI=0.0, protonCy=1.0E-4, preP=1.0E-4, ova=0.0, mHCI-pept=0.0, pept=2.0, proton=4.933828567818888E-5}, 20090={p1=0.0, p2=0.0, mHCI=0.0, vATPase=0.0, cMHCI=0.0, protonCy=1.0E-4, preP=1.0E-4, ova=0.0, mHCI-pept=0.0, pept=2.0, proton=1.9748118586685195E-5}, 20223={p1=0.0, p2=0.0, mHCI=0.0, vATPase=0.0, cMHCI=0.0, protonCy=1.0E-4, preP=1.0E-4, ova=0.0, mHCI-pept=0.0, pept=2.0, proton=3.161386829173449E-5}, 20607={p1=0.0, p2=0.0, mHCI=0.0, vATPase=0.0, cMHCI=0.0, protonCy=1.0E-4, preP=1.0E-4, ova=0.0, mHCI-pept=0.0, pept=2.0, proton=5.682892957633225E-5}}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</si>
</sst>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34080"/>
        <c:axId val="607834864"/>
      </c:scatterChart>
      <c:valAx>
        <c:axId val="60783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7834864"/>
        <c:crosses val="autoZero"/>
        <c:crossBetween val="midCat"/>
      </c:valAx>
      <c:valAx>
        <c:axId val="6078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783408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37608"/>
        <c:axId val="607836040"/>
      </c:scatterChart>
      <c:valAx>
        <c:axId val="60783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7836040"/>
        <c:crosses val="autoZero"/>
        <c:crossBetween val="midCat"/>
      </c:valAx>
      <c:valAx>
        <c:axId val="60783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783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55"/>
  <sheetViews>
    <sheetView tabSelected="1" workbookViewId="0">
      <pane ySplit="1" topLeftCell="A2" activePane="bottomLeft" state="frozen"/>
      <selection pane="bottomLeft" activeCell="B12" sqref="B12"/>
    </sheetView>
  </sheetViews>
  <sheetFormatPr baseColWidth="10" defaultRowHeight="14.25" x14ac:dyDescent="0.45"/>
  <sheetData>
    <row r="1" spans="1:37" x14ac:dyDescent="0.45">
      <c r="A1" s="1" t="s">
        <v>14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37" x14ac:dyDescent="0.45">
      <c r="A2" s="4" t="s">
        <v>12</v>
      </c>
      <c r="B2">
        <v>19907</v>
      </c>
      <c r="C2">
        <v>0</v>
      </c>
      <c r="D2">
        <v>0</v>
      </c>
      <c r="E2" s="2">
        <v>0</v>
      </c>
      <c r="F2">
        <v>0</v>
      </c>
      <c r="G2">
        <v>0</v>
      </c>
      <c r="H2" s="2">
        <v>1E-4</v>
      </c>
      <c r="I2" s="2">
        <v>1E-4</v>
      </c>
      <c r="J2">
        <v>0</v>
      </c>
      <c r="K2" s="2">
        <v>0</v>
      </c>
      <c r="L2" s="2">
        <v>2</v>
      </c>
      <c r="M2" s="2">
        <v>0</v>
      </c>
      <c r="N2" s="2" t="e">
        <f>-LOG10(M2/1000)</f>
        <v>#NUM!</v>
      </c>
      <c r="S2" s="2"/>
    </row>
    <row r="3" spans="1:37" x14ac:dyDescent="0.45">
      <c r="A3" s="5" t="s">
        <v>12</v>
      </c>
      <c r="B3">
        <v>19923</v>
      </c>
      <c r="C3">
        <v>0</v>
      </c>
      <c r="D3">
        <v>0</v>
      </c>
      <c r="E3" s="2">
        <v>0</v>
      </c>
      <c r="F3">
        <v>0</v>
      </c>
      <c r="G3">
        <v>0</v>
      </c>
      <c r="H3" s="2">
        <v>1E-4</v>
      </c>
      <c r="I3" s="2">
        <v>1E-4</v>
      </c>
      <c r="J3">
        <v>0</v>
      </c>
      <c r="K3" s="2">
        <v>0</v>
      </c>
      <c r="L3" s="2">
        <v>2</v>
      </c>
      <c r="M3" s="2">
        <v>1.98013140931238E-6</v>
      </c>
      <c r="N3" s="2">
        <f t="shared" ref="N3:N52" si="0">-LOG10(M3/1000)</f>
        <v>8.7033059872912517</v>
      </c>
      <c r="S3" s="2"/>
    </row>
    <row r="4" spans="1:37" x14ac:dyDescent="0.45">
      <c r="A4" s="5" t="s">
        <v>12</v>
      </c>
      <c r="B4">
        <v>19940</v>
      </c>
      <c r="C4">
        <v>0</v>
      </c>
      <c r="D4">
        <v>0</v>
      </c>
      <c r="E4" s="2">
        <v>0</v>
      </c>
      <c r="F4">
        <v>0</v>
      </c>
      <c r="G4">
        <v>0</v>
      </c>
      <c r="H4" s="2">
        <v>1E-4</v>
      </c>
      <c r="I4" s="2">
        <v>1E-4</v>
      </c>
      <c r="J4">
        <v>0</v>
      </c>
      <c r="K4" s="2">
        <v>0</v>
      </c>
      <c r="L4" s="2">
        <v>2</v>
      </c>
      <c r="M4" s="2">
        <v>3.9210536905703699E-6</v>
      </c>
      <c r="N4" s="2">
        <f t="shared" si="0"/>
        <v>8.4065972109110145</v>
      </c>
      <c r="S4" s="2"/>
      <c r="AK4" s="3"/>
    </row>
    <row r="5" spans="1:37" x14ac:dyDescent="0.45">
      <c r="A5" s="6" t="s">
        <v>12</v>
      </c>
      <c r="B5">
        <v>19957</v>
      </c>
      <c r="C5">
        <v>0</v>
      </c>
      <c r="D5">
        <v>0</v>
      </c>
      <c r="E5" s="2">
        <v>0</v>
      </c>
      <c r="F5">
        <v>0</v>
      </c>
      <c r="G5">
        <v>0</v>
      </c>
      <c r="H5" s="2">
        <v>1E-4</v>
      </c>
      <c r="I5" s="2">
        <v>1E-4</v>
      </c>
      <c r="J5">
        <v>0</v>
      </c>
      <c r="K5" s="2">
        <v>0</v>
      </c>
      <c r="L5" s="2">
        <v>2</v>
      </c>
      <c r="M5" s="2">
        <v>5.8235440359843302E-6</v>
      </c>
      <c r="N5" s="2">
        <f t="shared" si="0"/>
        <v>8.2348126361689218</v>
      </c>
      <c r="S5" s="2"/>
      <c r="AB5" s="2"/>
      <c r="AE5" s="2"/>
      <c r="AF5" s="2"/>
    </row>
    <row r="6" spans="1:37" x14ac:dyDescent="0.45">
      <c r="A6" s="6" t="s">
        <v>13</v>
      </c>
      <c r="B6">
        <v>19973</v>
      </c>
      <c r="C6">
        <v>0</v>
      </c>
      <c r="D6">
        <v>0</v>
      </c>
      <c r="E6" s="2">
        <v>0</v>
      </c>
      <c r="F6">
        <v>0</v>
      </c>
      <c r="G6">
        <v>0</v>
      </c>
      <c r="H6" s="2">
        <v>1E-4</v>
      </c>
      <c r="I6" s="2">
        <v>1E-4</v>
      </c>
      <c r="J6">
        <v>0</v>
      </c>
      <c r="K6" s="2">
        <v>0</v>
      </c>
      <c r="L6" s="2">
        <v>2</v>
      </c>
      <c r="M6" s="2">
        <v>7.6883626586317E-6</v>
      </c>
      <c r="N6" s="2">
        <f t="shared" si="0"/>
        <v>8.1141661392666879</v>
      </c>
      <c r="S6" s="2"/>
      <c r="AB6" s="2"/>
      <c r="AE6" s="2"/>
      <c r="AF6" s="2"/>
    </row>
    <row r="7" spans="1:37" x14ac:dyDescent="0.45">
      <c r="B7">
        <v>19990</v>
      </c>
      <c r="C7">
        <v>0</v>
      </c>
      <c r="D7">
        <v>0</v>
      </c>
      <c r="E7" s="2">
        <v>0</v>
      </c>
      <c r="F7">
        <v>0</v>
      </c>
      <c r="G7">
        <v>0</v>
      </c>
      <c r="H7" s="2">
        <v>1E-4</v>
      </c>
      <c r="I7" s="2">
        <v>1E-4</v>
      </c>
      <c r="J7">
        <v>0</v>
      </c>
      <c r="K7" s="2">
        <v>0</v>
      </c>
      <c r="L7" s="2">
        <v>2</v>
      </c>
      <c r="M7" s="2">
        <v>9.5162556396865807E-6</v>
      </c>
      <c r="N7" s="2">
        <f t="shared" si="0"/>
        <v>8.0215338998195129</v>
      </c>
      <c r="S7" s="2"/>
      <c r="AB7" s="2"/>
      <c r="AE7" s="2"/>
      <c r="AF7" s="2"/>
    </row>
    <row r="8" spans="1:37" x14ac:dyDescent="0.45">
      <c r="B8">
        <v>20007</v>
      </c>
      <c r="C8">
        <v>0</v>
      </c>
      <c r="D8">
        <v>0</v>
      </c>
      <c r="E8" s="2">
        <v>0</v>
      </c>
      <c r="F8">
        <v>0</v>
      </c>
      <c r="G8">
        <v>0</v>
      </c>
      <c r="H8" s="2">
        <v>1E-4</v>
      </c>
      <c r="I8" s="2">
        <v>1E-4</v>
      </c>
      <c r="J8">
        <v>0</v>
      </c>
      <c r="K8" s="2">
        <v>0</v>
      </c>
      <c r="L8" s="2">
        <v>2</v>
      </c>
      <c r="M8" s="2">
        <v>1.13079542388157E-5</v>
      </c>
      <c r="N8" s="2">
        <f t="shared" si="0"/>
        <v>7.9466159576878272</v>
      </c>
      <c r="S8" s="2"/>
      <c r="AB8" s="2"/>
      <c r="AE8" s="2"/>
      <c r="AF8" s="2"/>
    </row>
    <row r="9" spans="1:37" x14ac:dyDescent="0.45">
      <c r="B9">
        <v>20023</v>
      </c>
      <c r="C9">
        <v>0</v>
      </c>
      <c r="D9">
        <v>0</v>
      </c>
      <c r="E9" s="2">
        <v>0</v>
      </c>
      <c r="F9">
        <v>0</v>
      </c>
      <c r="G9">
        <v>0</v>
      </c>
      <c r="H9" s="2">
        <v>1E-4</v>
      </c>
      <c r="I9" s="2">
        <v>1E-4</v>
      </c>
      <c r="J9">
        <v>0</v>
      </c>
      <c r="K9" s="2">
        <v>0</v>
      </c>
      <c r="L9" s="2">
        <v>2</v>
      </c>
      <c r="M9" s="2">
        <v>1.3064174549995399E-5</v>
      </c>
      <c r="N9" s="2">
        <f t="shared" si="0"/>
        <v>7.8839180256387031</v>
      </c>
      <c r="S9" s="2"/>
      <c r="AB9" s="2"/>
      <c r="AE9" s="2"/>
      <c r="AF9" s="2"/>
    </row>
    <row r="10" spans="1:37" x14ac:dyDescent="0.45">
      <c r="B10">
        <v>20040</v>
      </c>
      <c r="C10">
        <v>0</v>
      </c>
      <c r="D10">
        <v>0</v>
      </c>
      <c r="E10" s="2">
        <v>0</v>
      </c>
      <c r="F10">
        <v>0</v>
      </c>
      <c r="G10">
        <v>0</v>
      </c>
      <c r="H10" s="2">
        <v>1E-4</v>
      </c>
      <c r="I10" s="2">
        <v>1E-4</v>
      </c>
      <c r="J10">
        <v>0</v>
      </c>
      <c r="K10" s="2">
        <v>0</v>
      </c>
      <c r="L10" s="2">
        <v>2</v>
      </c>
      <c r="M10" s="2">
        <v>1.47856192656401E-5</v>
      </c>
      <c r="N10" s="2">
        <f t="shared" si="0"/>
        <v>7.8301604812144161</v>
      </c>
      <c r="S10" s="2"/>
      <c r="AB10" s="2"/>
      <c r="AE10" s="2"/>
      <c r="AF10" s="2"/>
    </row>
    <row r="11" spans="1:37" x14ac:dyDescent="0.45">
      <c r="B11">
        <v>20057</v>
      </c>
      <c r="C11">
        <v>0</v>
      </c>
      <c r="D11">
        <v>0</v>
      </c>
      <c r="E11" s="2">
        <v>0</v>
      </c>
      <c r="F11">
        <v>0</v>
      </c>
      <c r="G11">
        <v>0</v>
      </c>
      <c r="H11" s="2">
        <v>1E-4</v>
      </c>
      <c r="I11" s="2">
        <v>1E-4</v>
      </c>
      <c r="J11">
        <v>0</v>
      </c>
      <c r="K11" s="2">
        <v>0</v>
      </c>
      <c r="L11" s="2">
        <v>2</v>
      </c>
      <c r="M11" s="2">
        <v>1.64729770964243E-5</v>
      </c>
      <c r="N11" s="2">
        <f t="shared" si="0"/>
        <v>7.7832279054016809</v>
      </c>
      <c r="S11" s="2"/>
      <c r="AB11" s="2"/>
      <c r="AE11" s="2"/>
      <c r="AF11" s="2"/>
    </row>
    <row r="12" spans="1:37" x14ac:dyDescent="0.45">
      <c r="B12">
        <v>20073</v>
      </c>
      <c r="C12">
        <v>0</v>
      </c>
      <c r="D12">
        <v>0</v>
      </c>
      <c r="E12" s="2">
        <v>0</v>
      </c>
      <c r="F12">
        <v>0</v>
      </c>
      <c r="G12">
        <v>0</v>
      </c>
      <c r="H12" s="2">
        <v>1E-4</v>
      </c>
      <c r="I12" s="2">
        <v>1E-4</v>
      </c>
      <c r="J12">
        <v>0</v>
      </c>
      <c r="K12" s="2">
        <v>0</v>
      </c>
      <c r="L12" s="2">
        <v>2</v>
      </c>
      <c r="M12" s="2">
        <v>1.8126922988866501E-5</v>
      </c>
      <c r="N12" s="2">
        <f t="shared" si="0"/>
        <v>7.7416759103208888</v>
      </c>
      <c r="S12" s="2"/>
      <c r="AB12" s="2"/>
      <c r="AE12" s="2"/>
      <c r="AF12" s="2"/>
    </row>
    <row r="13" spans="1:37" x14ac:dyDescent="0.45">
      <c r="B13">
        <v>20090</v>
      </c>
      <c r="C13">
        <v>0</v>
      </c>
      <c r="D13">
        <v>0</v>
      </c>
      <c r="E13" s="2">
        <v>0</v>
      </c>
      <c r="F13">
        <v>0</v>
      </c>
      <c r="G13">
        <v>0</v>
      </c>
      <c r="H13" s="2">
        <v>1E-4</v>
      </c>
      <c r="I13" s="2">
        <v>1E-4</v>
      </c>
      <c r="J13">
        <v>0</v>
      </c>
      <c r="K13" s="2">
        <v>0</v>
      </c>
      <c r="L13" s="2">
        <v>2</v>
      </c>
      <c r="M13" s="2">
        <v>1.97481185866851E-5</v>
      </c>
      <c r="N13" s="2">
        <f t="shared" si="0"/>
        <v>7.7044742735231804</v>
      </c>
      <c r="S13" s="2"/>
      <c r="AB13" s="2"/>
      <c r="AE13" s="2"/>
      <c r="AF13" s="2"/>
    </row>
    <row r="14" spans="1:37" x14ac:dyDescent="0.45">
      <c r="B14">
        <v>20107</v>
      </c>
      <c r="C14">
        <v>0</v>
      </c>
      <c r="D14">
        <v>0</v>
      </c>
      <c r="E14" s="2">
        <v>0</v>
      </c>
      <c r="F14">
        <v>0</v>
      </c>
      <c r="G14">
        <v>0</v>
      </c>
      <c r="H14" s="2">
        <v>1E-4</v>
      </c>
      <c r="I14" s="2">
        <v>1E-4</v>
      </c>
      <c r="J14">
        <v>0</v>
      </c>
      <c r="K14" s="2">
        <v>0</v>
      </c>
      <c r="L14" s="2">
        <v>2</v>
      </c>
      <c r="M14" s="2">
        <v>2.1337213155159599E-5</v>
      </c>
      <c r="N14" s="2">
        <f t="shared" si="0"/>
        <v>7.6708623042354382</v>
      </c>
      <c r="S14" s="2"/>
      <c r="AB14" s="2"/>
      <c r="AE14" s="2"/>
      <c r="AF14" s="2"/>
    </row>
    <row r="15" spans="1:37" x14ac:dyDescent="0.45">
      <c r="B15">
        <v>20123</v>
      </c>
      <c r="C15">
        <v>0</v>
      </c>
      <c r="D15">
        <v>0</v>
      </c>
      <c r="E15" s="2">
        <v>0</v>
      </c>
      <c r="F15">
        <v>0</v>
      </c>
      <c r="G15">
        <v>0</v>
      </c>
      <c r="H15" s="2">
        <v>1E-4</v>
      </c>
      <c r="I15" s="2">
        <v>1E-4</v>
      </c>
      <c r="J15">
        <v>0</v>
      </c>
      <c r="K15" s="2">
        <v>0</v>
      </c>
      <c r="L15" s="2">
        <v>2</v>
      </c>
      <c r="M15" s="2">
        <v>2.2894842782272899E-5</v>
      </c>
      <c r="N15" s="2">
        <f t="shared" si="0"/>
        <v>7.6402623344042802</v>
      </c>
      <c r="S15" s="2"/>
      <c r="AB15" s="2"/>
      <c r="AE15" s="2"/>
      <c r="AF15" s="2"/>
    </row>
    <row r="16" spans="1:37" x14ac:dyDescent="0.45">
      <c r="B16">
        <v>20140</v>
      </c>
      <c r="C16">
        <v>0</v>
      </c>
      <c r="D16">
        <v>0</v>
      </c>
      <c r="E16" s="2">
        <v>0</v>
      </c>
      <c r="F16">
        <v>0</v>
      </c>
      <c r="G16">
        <v>0</v>
      </c>
      <c r="H16" s="2">
        <v>1E-4</v>
      </c>
      <c r="I16" s="2">
        <v>1E-4</v>
      </c>
      <c r="J16">
        <v>0</v>
      </c>
      <c r="K16" s="2">
        <v>0</v>
      </c>
      <c r="L16" s="2">
        <v>2</v>
      </c>
      <c r="M16" s="2">
        <v>2.44216302377551E-5</v>
      </c>
      <c r="N16" s="2">
        <f t="shared" si="0"/>
        <v>7.612225348596307</v>
      </c>
      <c r="S16" s="2"/>
      <c r="AB16" s="2"/>
      <c r="AE16" s="2"/>
      <c r="AF16" s="2"/>
    </row>
    <row r="17" spans="2:32" x14ac:dyDescent="0.45">
      <c r="B17">
        <v>20157</v>
      </c>
      <c r="C17">
        <v>0</v>
      </c>
      <c r="D17">
        <v>0</v>
      </c>
      <c r="E17" s="2">
        <v>0</v>
      </c>
      <c r="F17">
        <v>0</v>
      </c>
      <c r="G17">
        <v>0</v>
      </c>
      <c r="H17" s="2">
        <v>1E-4</v>
      </c>
      <c r="I17" s="2">
        <v>1E-4</v>
      </c>
      <c r="J17">
        <v>0</v>
      </c>
      <c r="K17" s="2">
        <v>0</v>
      </c>
      <c r="L17" s="2">
        <v>2</v>
      </c>
      <c r="M17" s="2">
        <v>2.5918185672018601E-5</v>
      </c>
      <c r="N17" s="2">
        <f t="shared" si="0"/>
        <v>7.586395403272479</v>
      </c>
      <c r="S17" s="2"/>
      <c r="AB17" s="2"/>
      <c r="AE17" s="2"/>
      <c r="AF17" s="2"/>
    </row>
    <row r="18" spans="2:32" x14ac:dyDescent="0.45">
      <c r="B18">
        <v>20173</v>
      </c>
      <c r="C18">
        <v>0</v>
      </c>
      <c r="D18">
        <v>0</v>
      </c>
      <c r="E18" s="2">
        <v>0</v>
      </c>
      <c r="F18">
        <v>0</v>
      </c>
      <c r="G18">
        <v>0</v>
      </c>
      <c r="H18" s="2">
        <v>1E-4</v>
      </c>
      <c r="I18" s="2">
        <v>1E-4</v>
      </c>
      <c r="J18">
        <v>0</v>
      </c>
      <c r="K18" s="2">
        <v>0</v>
      </c>
      <c r="L18" s="2">
        <v>2</v>
      </c>
      <c r="M18" s="2">
        <v>2.7385106912914698E-5</v>
      </c>
      <c r="N18" s="2">
        <f t="shared" si="0"/>
        <v>7.5624855592231182</v>
      </c>
      <c r="S18" s="2"/>
      <c r="AB18" s="2"/>
      <c r="AE18" s="2"/>
      <c r="AF18" s="2"/>
    </row>
    <row r="19" spans="2:32" x14ac:dyDescent="0.45">
      <c r="B19">
        <v>20190</v>
      </c>
      <c r="C19">
        <v>0</v>
      </c>
      <c r="D19">
        <v>0</v>
      </c>
      <c r="E19" s="2">
        <v>0</v>
      </c>
      <c r="F19">
        <v>0</v>
      </c>
      <c r="G19">
        <v>0</v>
      </c>
      <c r="H19" s="2">
        <v>1E-4</v>
      </c>
      <c r="I19" s="2">
        <v>1E-4</v>
      </c>
      <c r="J19">
        <v>0</v>
      </c>
      <c r="K19" s="2">
        <v>0</v>
      </c>
      <c r="L19" s="2">
        <v>2</v>
      </c>
      <c r="M19" s="2">
        <v>2.8822979762489899E-5</v>
      </c>
      <c r="N19" s="2">
        <f t="shared" si="0"/>
        <v>7.54026112319199</v>
      </c>
      <c r="S19" s="2"/>
      <c r="AB19" s="2"/>
      <c r="AE19" s="2"/>
      <c r="AF19" s="2"/>
    </row>
    <row r="20" spans="2:32" x14ac:dyDescent="0.45">
      <c r="B20">
        <v>20207</v>
      </c>
      <c r="C20">
        <v>0</v>
      </c>
      <c r="D20">
        <v>0</v>
      </c>
      <c r="E20" s="2">
        <v>0</v>
      </c>
      <c r="F20">
        <v>0</v>
      </c>
      <c r="G20">
        <v>0</v>
      </c>
      <c r="H20" s="2">
        <v>1E-4</v>
      </c>
      <c r="I20" s="2">
        <v>1E-4</v>
      </c>
      <c r="J20">
        <v>0</v>
      </c>
      <c r="K20" s="2">
        <v>0</v>
      </c>
      <c r="L20" s="2">
        <v>2</v>
      </c>
      <c r="M20" s="2">
        <v>3.0232378785394101E-5</v>
      </c>
      <c r="N20" s="2">
        <f t="shared" si="0"/>
        <v>7.5195276797250745</v>
      </c>
      <c r="S20" s="2"/>
      <c r="AB20" s="2"/>
      <c r="AE20" s="2"/>
      <c r="AF20" s="2"/>
    </row>
    <row r="21" spans="2:32" x14ac:dyDescent="0.45">
      <c r="B21">
        <v>20223</v>
      </c>
      <c r="C21">
        <v>0</v>
      </c>
      <c r="D21">
        <v>0</v>
      </c>
      <c r="E21" s="2">
        <v>0</v>
      </c>
      <c r="F21">
        <v>0</v>
      </c>
      <c r="G21">
        <v>0</v>
      </c>
      <c r="H21" s="2">
        <v>1E-4</v>
      </c>
      <c r="I21" s="2">
        <v>1E-4</v>
      </c>
      <c r="J21">
        <v>0</v>
      </c>
      <c r="K21" s="2">
        <v>0</v>
      </c>
      <c r="L21" s="2">
        <v>2</v>
      </c>
      <c r="M21" s="2">
        <v>3.1613868291734401E-5</v>
      </c>
      <c r="N21" s="2">
        <f t="shared" si="0"/>
        <v>7.5001223603777909</v>
      </c>
      <c r="S21" s="2"/>
      <c r="AB21" s="2"/>
      <c r="AE21" s="2"/>
      <c r="AF21" s="2"/>
    </row>
    <row r="22" spans="2:32" x14ac:dyDescent="0.45">
      <c r="B22">
        <v>20240</v>
      </c>
      <c r="C22">
        <v>0</v>
      </c>
      <c r="D22">
        <v>0</v>
      </c>
      <c r="E22" s="2">
        <v>0</v>
      </c>
      <c r="F22">
        <v>0</v>
      </c>
      <c r="G22">
        <v>0</v>
      </c>
      <c r="H22" s="2">
        <v>1E-4</v>
      </c>
      <c r="I22" s="2">
        <v>1E-4</v>
      </c>
      <c r="J22">
        <v>0</v>
      </c>
      <c r="K22" s="2">
        <v>0</v>
      </c>
      <c r="L22" s="2">
        <v>2</v>
      </c>
      <c r="M22" s="2">
        <v>3.2968000962719501E-5</v>
      </c>
      <c r="N22" s="2">
        <f t="shared" si="0"/>
        <v>7.4819073858013594</v>
      </c>
      <c r="S22" s="2"/>
      <c r="AB22" s="2"/>
      <c r="AE22" s="2"/>
      <c r="AF22" s="2"/>
    </row>
    <row r="23" spans="2:32" x14ac:dyDescent="0.45">
      <c r="B23">
        <v>20257</v>
      </c>
      <c r="C23">
        <v>0</v>
      </c>
      <c r="D23">
        <v>0</v>
      </c>
      <c r="E23" s="2">
        <v>0</v>
      </c>
      <c r="F23">
        <v>0</v>
      </c>
      <c r="G23">
        <v>0</v>
      </c>
      <c r="H23" s="2">
        <v>1E-4</v>
      </c>
      <c r="I23" s="2">
        <v>1E-4</v>
      </c>
      <c r="J23">
        <v>0</v>
      </c>
      <c r="K23" s="2">
        <v>0</v>
      </c>
      <c r="L23" s="2">
        <v>2</v>
      </c>
      <c r="M23" s="2">
        <v>3.4295318854730999E-5</v>
      </c>
      <c r="N23" s="2">
        <f t="shared" si="0"/>
        <v>7.4647651550097089</v>
      </c>
      <c r="S23" s="2"/>
      <c r="AB23" s="2"/>
      <c r="AE23" s="2"/>
      <c r="AF23" s="2"/>
    </row>
    <row r="24" spans="2:32" x14ac:dyDescent="0.45">
      <c r="B24">
        <v>20273</v>
      </c>
      <c r="C24">
        <v>0</v>
      </c>
      <c r="D24">
        <v>0</v>
      </c>
      <c r="E24" s="2">
        <v>0</v>
      </c>
      <c r="F24">
        <v>0</v>
      </c>
      <c r="G24">
        <v>0</v>
      </c>
      <c r="H24" s="2">
        <v>1E-4</v>
      </c>
      <c r="I24" s="2">
        <v>1E-4</v>
      </c>
      <c r="J24">
        <v>0</v>
      </c>
      <c r="K24" s="2">
        <v>0</v>
      </c>
      <c r="L24" s="2">
        <v>2</v>
      </c>
      <c r="M24" s="2">
        <v>3.5596353758969E-5</v>
      </c>
      <c r="N24" s="2">
        <f t="shared" si="0"/>
        <v>7.448594485832186</v>
      </c>
      <c r="S24" s="2"/>
      <c r="AB24" s="2"/>
      <c r="AE24" s="2"/>
      <c r="AF24" s="2"/>
    </row>
    <row r="25" spans="2:32" x14ac:dyDescent="0.45">
      <c r="B25">
        <v>20290</v>
      </c>
      <c r="C25">
        <v>0</v>
      </c>
      <c r="D25">
        <v>0</v>
      </c>
      <c r="E25" s="2">
        <v>0</v>
      </c>
      <c r="F25">
        <v>0</v>
      </c>
      <c r="G25">
        <v>0</v>
      </c>
      <c r="H25" s="2">
        <v>1E-4</v>
      </c>
      <c r="I25" s="2">
        <v>1E-4</v>
      </c>
      <c r="J25">
        <v>0</v>
      </c>
      <c r="K25" s="2">
        <v>0</v>
      </c>
      <c r="L25" s="2">
        <v>2</v>
      </c>
      <c r="M25" s="2">
        <v>3.6871627520557598E-5</v>
      </c>
      <c r="N25" s="2">
        <f t="shared" si="0"/>
        <v>7.4333076921308656</v>
      </c>
      <c r="S25" s="2"/>
      <c r="AB25" s="2"/>
      <c r="AE25" s="2"/>
      <c r="AF25" s="2"/>
    </row>
    <row r="26" spans="2:32" x14ac:dyDescent="0.45">
      <c r="B26">
        <v>20307</v>
      </c>
      <c r="C26">
        <v>0</v>
      </c>
      <c r="D26">
        <v>0</v>
      </c>
      <c r="E26" s="2">
        <v>0</v>
      </c>
      <c r="F26">
        <v>0</v>
      </c>
      <c r="G26">
        <v>0</v>
      </c>
      <c r="H26" s="2">
        <v>1E-4</v>
      </c>
      <c r="I26" s="2">
        <v>1E-4</v>
      </c>
      <c r="J26">
        <v>0</v>
      </c>
      <c r="K26" s="2">
        <v>0</v>
      </c>
      <c r="L26" s="2">
        <v>2</v>
      </c>
      <c r="M26" s="2">
        <v>3.8121652015107497E-5</v>
      </c>
      <c r="N26" s="2">
        <f t="shared" si="0"/>
        <v>7.4188282873228175</v>
      </c>
      <c r="S26" s="2"/>
      <c r="AB26" s="2"/>
      <c r="AE26" s="2"/>
      <c r="AF26" s="2"/>
    </row>
    <row r="27" spans="2:32" x14ac:dyDescent="0.45">
      <c r="B27">
        <v>20323</v>
      </c>
      <c r="C27">
        <v>0</v>
      </c>
      <c r="D27">
        <v>0</v>
      </c>
      <c r="E27" s="2">
        <v>0</v>
      </c>
      <c r="F27">
        <v>0</v>
      </c>
      <c r="G27">
        <v>0</v>
      </c>
      <c r="H27" s="2">
        <v>1E-4</v>
      </c>
      <c r="I27" s="2">
        <v>1E-4</v>
      </c>
      <c r="J27">
        <v>0</v>
      </c>
      <c r="K27" s="2">
        <v>0</v>
      </c>
      <c r="L27" s="2">
        <v>2</v>
      </c>
      <c r="M27" s="2">
        <v>3.9346924873683802E-5</v>
      </c>
      <c r="N27" s="2">
        <f t="shared" si="0"/>
        <v>7.4050892039040725</v>
      </c>
      <c r="S27" s="2"/>
      <c r="AB27" s="2"/>
      <c r="AE27" s="2"/>
      <c r="AF27" s="2"/>
    </row>
    <row r="28" spans="2:32" x14ac:dyDescent="0.45">
      <c r="B28">
        <v>20340</v>
      </c>
      <c r="C28">
        <v>0</v>
      </c>
      <c r="D28">
        <v>0</v>
      </c>
      <c r="E28" s="2">
        <v>0</v>
      </c>
      <c r="F28">
        <v>0</v>
      </c>
      <c r="G28">
        <v>0</v>
      </c>
      <c r="H28" s="2">
        <v>1E-4</v>
      </c>
      <c r="I28" s="2">
        <v>1E-4</v>
      </c>
      <c r="J28">
        <v>0</v>
      </c>
      <c r="K28" s="2">
        <v>0</v>
      </c>
      <c r="L28" s="2">
        <v>2</v>
      </c>
      <c r="M28" s="2">
        <v>4.0547935136019797E-5</v>
      </c>
      <c r="N28" s="2">
        <f t="shared" si="0"/>
        <v>7.3920312569118973</v>
      </c>
      <c r="S28" s="2"/>
      <c r="AB28" s="2"/>
      <c r="AE28" s="2"/>
      <c r="AF28" s="2"/>
    </row>
    <row r="29" spans="2:32" x14ac:dyDescent="0.45">
      <c r="B29">
        <v>20357</v>
      </c>
      <c r="C29">
        <v>0</v>
      </c>
      <c r="D29">
        <v>0</v>
      </c>
      <c r="E29" s="2">
        <v>0</v>
      </c>
      <c r="F29">
        <v>0</v>
      </c>
      <c r="G29">
        <v>0</v>
      </c>
      <c r="H29" s="2">
        <v>1E-4</v>
      </c>
      <c r="I29" s="2">
        <v>1E-4</v>
      </c>
      <c r="J29">
        <v>0</v>
      </c>
      <c r="K29" s="2">
        <v>0</v>
      </c>
      <c r="L29" s="2">
        <v>2</v>
      </c>
      <c r="M29" s="2">
        <v>4.1725163304846897E-5</v>
      </c>
      <c r="N29" s="2">
        <f t="shared" si="0"/>
        <v>7.37960195489425</v>
      </c>
      <c r="S29" s="2"/>
      <c r="AB29" s="2"/>
      <c r="AE29" s="2"/>
      <c r="AF29" s="2"/>
    </row>
    <row r="30" spans="2:32" x14ac:dyDescent="0.45">
      <c r="B30">
        <v>20373</v>
      </c>
      <c r="C30">
        <v>0</v>
      </c>
      <c r="D30">
        <v>0</v>
      </c>
      <c r="E30" s="2">
        <v>0</v>
      </c>
      <c r="F30">
        <v>0</v>
      </c>
      <c r="G30">
        <v>0</v>
      </c>
      <c r="H30" s="2">
        <v>1E-4</v>
      </c>
      <c r="I30" s="2">
        <v>1E-4</v>
      </c>
      <c r="J30">
        <v>0</v>
      </c>
      <c r="K30" s="2">
        <v>0</v>
      </c>
      <c r="L30" s="2">
        <v>2</v>
      </c>
      <c r="M30" s="2">
        <v>4.28790805405777E-5</v>
      </c>
      <c r="N30" s="2">
        <f t="shared" si="0"/>
        <v>7.3677545358254237</v>
      </c>
      <c r="S30" s="2"/>
      <c r="AB30" s="2"/>
      <c r="AE30" s="2"/>
      <c r="AF30" s="2"/>
    </row>
    <row r="31" spans="2:32" x14ac:dyDescent="0.45">
      <c r="B31">
        <v>20390</v>
      </c>
      <c r="C31">
        <v>0</v>
      </c>
      <c r="D31">
        <v>0</v>
      </c>
      <c r="E31" s="2">
        <v>0</v>
      </c>
      <c r="F31">
        <v>0</v>
      </c>
      <c r="G31">
        <v>0</v>
      </c>
      <c r="H31" s="2">
        <v>1E-4</v>
      </c>
      <c r="I31" s="2">
        <v>1E-4</v>
      </c>
      <c r="J31">
        <v>0</v>
      </c>
      <c r="K31" s="2">
        <v>0</v>
      </c>
      <c r="L31" s="2">
        <v>2</v>
      </c>
      <c r="M31" s="2">
        <v>4.4010148897549998E-5</v>
      </c>
      <c r="N31" s="2">
        <f t="shared" si="0"/>
        <v>7.3564471621056544</v>
      </c>
      <c r="S31" s="2"/>
      <c r="AB31" s="2"/>
      <c r="AE31" s="2"/>
      <c r="AF31" s="2"/>
    </row>
    <row r="32" spans="2:32" x14ac:dyDescent="0.45">
      <c r="B32">
        <v>20407</v>
      </c>
      <c r="C32">
        <v>0</v>
      </c>
      <c r="D32">
        <v>0</v>
      </c>
      <c r="E32" s="2">
        <v>0</v>
      </c>
      <c r="F32">
        <v>0</v>
      </c>
      <c r="G32">
        <v>0</v>
      </c>
      <c r="H32" s="2">
        <v>1E-4</v>
      </c>
      <c r="I32" s="2">
        <v>1E-4</v>
      </c>
      <c r="J32">
        <v>0</v>
      </c>
      <c r="K32" s="2">
        <v>0</v>
      </c>
      <c r="L32" s="2">
        <v>2</v>
      </c>
      <c r="M32" s="2">
        <v>4.5118821560272602E-5</v>
      </c>
      <c r="N32" s="2">
        <f t="shared" si="0"/>
        <v>7.3456422520334561</v>
      </c>
      <c r="S32" s="2"/>
      <c r="AB32" s="2"/>
      <c r="AE32" s="2"/>
      <c r="AF32" s="2"/>
    </row>
    <row r="33" spans="2:32" x14ac:dyDescent="0.45">
      <c r="B33">
        <v>20423</v>
      </c>
      <c r="C33">
        <v>0</v>
      </c>
      <c r="D33">
        <v>0</v>
      </c>
      <c r="E33" s="2">
        <v>0</v>
      </c>
      <c r="F33">
        <v>0</v>
      </c>
      <c r="G33">
        <v>0</v>
      </c>
      <c r="H33" s="2">
        <v>1E-4</v>
      </c>
      <c r="I33" s="2">
        <v>1E-4</v>
      </c>
      <c r="J33">
        <v>0</v>
      </c>
      <c r="K33" s="2">
        <v>0</v>
      </c>
      <c r="L33">
        <v>2</v>
      </c>
      <c r="M33" s="2">
        <v>4.6205541861019598E-5</v>
      </c>
      <c r="N33" s="2">
        <f t="shared" si="0"/>
        <v>7.3353059323373904</v>
      </c>
      <c r="S33" s="2"/>
      <c r="AB33" s="2"/>
      <c r="AE33" s="2"/>
      <c r="AF33" s="2"/>
    </row>
    <row r="34" spans="2:32" x14ac:dyDescent="0.45">
      <c r="B34">
        <v>20440</v>
      </c>
      <c r="C34">
        <v>0</v>
      </c>
      <c r="D34">
        <v>0</v>
      </c>
      <c r="E34" s="2">
        <v>0</v>
      </c>
      <c r="F34">
        <v>0</v>
      </c>
      <c r="G34">
        <v>0</v>
      </c>
      <c r="H34" s="2">
        <v>1E-4</v>
      </c>
      <c r="I34" s="2">
        <v>1E-4</v>
      </c>
      <c r="J34">
        <v>0</v>
      </c>
      <c r="K34" s="2">
        <v>0</v>
      </c>
      <c r="L34" s="2">
        <v>2</v>
      </c>
      <c r="M34" s="2">
        <v>4.7270743321534702E-5</v>
      </c>
      <c r="N34" s="2">
        <f t="shared" si="0"/>
        <v>7.3254075684628432</v>
      </c>
      <c r="S34" s="2"/>
      <c r="AB34" s="2"/>
      <c r="AE34" s="2"/>
      <c r="AF34" s="2"/>
    </row>
    <row r="35" spans="2:32" x14ac:dyDescent="0.45">
      <c r="B35">
        <v>20457</v>
      </c>
      <c r="C35">
        <v>0</v>
      </c>
      <c r="D35">
        <v>0</v>
      </c>
      <c r="E35" s="2">
        <v>0</v>
      </c>
      <c r="F35">
        <v>0</v>
      </c>
      <c r="G35">
        <v>0</v>
      </c>
      <c r="H35" s="2">
        <v>1E-4</v>
      </c>
      <c r="I35" s="2">
        <v>1E-4</v>
      </c>
      <c r="J35">
        <v>0</v>
      </c>
      <c r="K35" s="2">
        <v>0</v>
      </c>
      <c r="L35" s="2">
        <v>2</v>
      </c>
      <c r="M35" s="2">
        <v>4.8314852015395497E-5</v>
      </c>
      <c r="N35" s="2">
        <f t="shared" si="0"/>
        <v>7.3159193463325458</v>
      </c>
      <c r="S35" s="2"/>
      <c r="AB35" s="2"/>
      <c r="AE35" s="2"/>
      <c r="AF35" s="2"/>
    </row>
    <row r="36" spans="2:32" x14ac:dyDescent="0.45">
      <c r="B36">
        <v>20473</v>
      </c>
      <c r="C36">
        <v>0</v>
      </c>
      <c r="D36">
        <v>0</v>
      </c>
      <c r="E36" s="2">
        <v>0</v>
      </c>
      <c r="F36">
        <v>0</v>
      </c>
      <c r="G36">
        <v>0</v>
      </c>
      <c r="H36" s="2">
        <v>1E-4</v>
      </c>
      <c r="I36" s="2">
        <v>1E-4</v>
      </c>
      <c r="J36">
        <v>0</v>
      </c>
      <c r="K36" s="2">
        <v>0</v>
      </c>
      <c r="L36" s="2">
        <v>2</v>
      </c>
      <c r="M36" s="2">
        <v>4.9338285678188802E-5</v>
      </c>
      <c r="N36" s="2">
        <f t="shared" si="0"/>
        <v>7.3068159447011132</v>
      </c>
      <c r="S36" s="2"/>
      <c r="AB36" s="2"/>
      <c r="AE36" s="2"/>
      <c r="AF36" s="2"/>
    </row>
    <row r="37" spans="2:32" x14ac:dyDescent="0.45">
      <c r="B37">
        <v>20490</v>
      </c>
      <c r="C37">
        <v>0</v>
      </c>
      <c r="D37">
        <v>0</v>
      </c>
      <c r="E37" s="2">
        <v>0</v>
      </c>
      <c r="F37">
        <v>0</v>
      </c>
      <c r="G37">
        <v>0</v>
      </c>
      <c r="H37" s="2">
        <v>1E-4</v>
      </c>
      <c r="I37" s="2">
        <v>1E-4</v>
      </c>
      <c r="J37">
        <v>0</v>
      </c>
      <c r="K37" s="2">
        <v>0</v>
      </c>
      <c r="L37" s="2">
        <v>2</v>
      </c>
      <c r="M37" s="2">
        <v>5.03414539007002E-5</v>
      </c>
      <c r="N37" s="2">
        <f t="shared" si="0"/>
        <v>7.2980742458410273</v>
      </c>
      <c r="S37" s="2"/>
      <c r="AB37" s="2"/>
      <c r="AE37" s="2"/>
      <c r="AF37" s="2"/>
    </row>
    <row r="38" spans="2:32" x14ac:dyDescent="0.45">
      <c r="B38">
        <v>20507</v>
      </c>
      <c r="C38">
        <v>0</v>
      </c>
      <c r="D38">
        <v>0</v>
      </c>
      <c r="E38" s="2">
        <v>0</v>
      </c>
      <c r="F38">
        <v>0</v>
      </c>
      <c r="G38">
        <v>0</v>
      </c>
      <c r="H38" s="2">
        <v>1E-4</v>
      </c>
      <c r="I38" s="2">
        <v>1E-4</v>
      </c>
      <c r="J38">
        <v>0</v>
      </c>
      <c r="K38" s="2">
        <v>0</v>
      </c>
      <c r="L38" s="2">
        <v>2</v>
      </c>
      <c r="M38" s="2">
        <v>5.1324758328812598E-5</v>
      </c>
      <c r="N38" s="2">
        <f t="shared" si="0"/>
        <v>7.2896730869005797</v>
      </c>
      <c r="S38" s="2"/>
      <c r="AB38" s="2"/>
      <c r="AE38" s="2"/>
      <c r="AF38" s="2"/>
    </row>
    <row r="39" spans="2:32" x14ac:dyDescent="0.45">
      <c r="B39">
        <v>20523</v>
      </c>
      <c r="C39">
        <v>0</v>
      </c>
      <c r="D39">
        <v>0</v>
      </c>
      <c r="E39" s="2">
        <v>0</v>
      </c>
      <c r="F39">
        <v>0</v>
      </c>
      <c r="G39">
        <v>0</v>
      </c>
      <c r="H39" s="2">
        <v>1E-4</v>
      </c>
      <c r="I39" s="2">
        <v>1E-4</v>
      </c>
      <c r="J39">
        <v>0</v>
      </c>
      <c r="K39" s="2">
        <v>0</v>
      </c>
      <c r="L39" s="2">
        <v>2</v>
      </c>
      <c r="M39" s="2">
        <v>5.2288592646907797E-5</v>
      </c>
      <c r="N39" s="2">
        <f t="shared" si="0"/>
        <v>7.2815930470957086</v>
      </c>
      <c r="S39" s="2"/>
      <c r="AB39" s="2"/>
      <c r="AE39" s="2"/>
      <c r="AF39" s="2"/>
    </row>
    <row r="40" spans="2:32" x14ac:dyDescent="0.45">
      <c r="B40">
        <v>20540</v>
      </c>
      <c r="C40">
        <v>0</v>
      </c>
      <c r="D40">
        <v>0</v>
      </c>
      <c r="E40" s="2">
        <v>0</v>
      </c>
      <c r="F40">
        <v>0</v>
      </c>
      <c r="G40">
        <v>0</v>
      </c>
      <c r="H40" s="2">
        <v>1E-4</v>
      </c>
      <c r="I40" s="2">
        <v>1E-4</v>
      </c>
      <c r="J40">
        <v>0</v>
      </c>
      <c r="K40" s="2">
        <v>0</v>
      </c>
      <c r="L40" s="2">
        <v>2</v>
      </c>
      <c r="M40" s="2">
        <v>5.3233341571999597E-5</v>
      </c>
      <c r="N40" s="2">
        <f t="shared" si="0"/>
        <v>7.2738162713675223</v>
      </c>
      <c r="S40" s="2"/>
      <c r="AB40" s="2"/>
      <c r="AE40" s="2"/>
      <c r="AF40" s="2"/>
    </row>
    <row r="41" spans="2:32" x14ac:dyDescent="0.45">
      <c r="B41">
        <v>20557</v>
      </c>
      <c r="C41">
        <v>0</v>
      </c>
      <c r="D41">
        <v>0</v>
      </c>
      <c r="E41" s="2">
        <v>0</v>
      </c>
      <c r="F41">
        <v>0</v>
      </c>
      <c r="G41">
        <v>0</v>
      </c>
      <c r="H41" s="2">
        <v>1E-4</v>
      </c>
      <c r="I41" s="2">
        <v>1E-4</v>
      </c>
      <c r="J41">
        <v>0</v>
      </c>
      <c r="K41" s="2">
        <v>0</v>
      </c>
      <c r="L41" s="2">
        <v>2</v>
      </c>
      <c r="M41" s="2">
        <v>5.4159382830704503E-5</v>
      </c>
      <c r="N41" s="2">
        <f t="shared" si="0"/>
        <v>7.2663262932657959</v>
      </c>
      <c r="S41" s="2"/>
      <c r="AB41" s="2"/>
      <c r="AE41" s="2"/>
      <c r="AF41" s="2"/>
    </row>
    <row r="42" spans="2:32" x14ac:dyDescent="0.45">
      <c r="B42">
        <v>20573</v>
      </c>
      <c r="C42">
        <v>0</v>
      </c>
      <c r="D42">
        <v>0</v>
      </c>
      <c r="E42" s="2">
        <v>0</v>
      </c>
      <c r="F42">
        <v>0</v>
      </c>
      <c r="G42">
        <v>0</v>
      </c>
      <c r="H42" s="2">
        <v>1E-4</v>
      </c>
      <c r="I42" s="2">
        <v>1E-4</v>
      </c>
      <c r="J42">
        <v>0</v>
      </c>
      <c r="K42" s="2">
        <v>0</v>
      </c>
      <c r="L42" s="2">
        <v>2</v>
      </c>
      <c r="M42" s="2">
        <v>5.5067086915488099E-5</v>
      </c>
      <c r="N42" s="2">
        <f t="shared" si="0"/>
        <v>7.2591078973700256</v>
      </c>
      <c r="S42" s="2"/>
      <c r="AB42" s="2"/>
      <c r="AE42" s="2"/>
      <c r="AF42" s="2"/>
    </row>
    <row r="43" spans="2:32" x14ac:dyDescent="0.45">
      <c r="B43">
        <v>20590</v>
      </c>
      <c r="C43">
        <v>0</v>
      </c>
      <c r="D43">
        <v>0</v>
      </c>
      <c r="E43" s="2">
        <v>0</v>
      </c>
      <c r="F43">
        <v>0</v>
      </c>
      <c r="G43">
        <v>0</v>
      </c>
      <c r="H43" s="2">
        <v>1E-4</v>
      </c>
      <c r="I43" s="2">
        <v>1E-4</v>
      </c>
      <c r="J43">
        <v>0</v>
      </c>
      <c r="K43" s="2">
        <v>0</v>
      </c>
      <c r="L43" s="2">
        <v>2</v>
      </c>
      <c r="M43" s="2">
        <v>5.5956817092108598E-5</v>
      </c>
      <c r="N43" s="2">
        <f t="shared" si="0"/>
        <v>7.2521469968007803</v>
      </c>
      <c r="S43" s="2"/>
      <c r="AB43" s="2"/>
      <c r="AE43" s="2"/>
      <c r="AF43" s="2"/>
    </row>
    <row r="44" spans="2:32" x14ac:dyDescent="0.45">
      <c r="B44">
        <v>20607</v>
      </c>
      <c r="C44">
        <v>0</v>
      </c>
      <c r="D44">
        <v>0</v>
      </c>
      <c r="E44" s="2">
        <v>0</v>
      </c>
      <c r="F44">
        <v>0</v>
      </c>
      <c r="G44">
        <v>0</v>
      </c>
      <c r="H44" s="2">
        <v>1E-4</v>
      </c>
      <c r="I44" s="2">
        <v>1E-4</v>
      </c>
      <c r="J44">
        <v>0</v>
      </c>
      <c r="K44" s="2">
        <v>0</v>
      </c>
      <c r="L44" s="2">
        <v>2</v>
      </c>
      <c r="M44" s="2">
        <v>5.6828929576332202E-5</v>
      </c>
      <c r="N44" s="2">
        <f t="shared" si="0"/>
        <v>7.2454305242028569</v>
      </c>
      <c r="S44" s="2"/>
      <c r="AB44" s="2"/>
      <c r="AE44" s="2"/>
      <c r="AF44" s="2"/>
    </row>
    <row r="45" spans="2:32" x14ac:dyDescent="0.45">
      <c r="B45">
        <v>20623</v>
      </c>
      <c r="C45">
        <v>0</v>
      </c>
      <c r="D45">
        <v>0</v>
      </c>
      <c r="E45" s="2">
        <v>0</v>
      </c>
      <c r="F45">
        <v>0</v>
      </c>
      <c r="G45">
        <v>0</v>
      </c>
      <c r="H45" s="2">
        <v>1E-4</v>
      </c>
      <c r="I45" s="2">
        <v>1E-4</v>
      </c>
      <c r="J45">
        <v>0</v>
      </c>
      <c r="K45" s="2">
        <v>0</v>
      </c>
      <c r="L45" s="2">
        <v>2</v>
      </c>
      <c r="M45" s="2">
        <v>5.7683773390621798E-5</v>
      </c>
      <c r="N45" s="2">
        <f t="shared" si="0"/>
        <v>7.2389463379362695</v>
      </c>
      <c r="S45" s="2"/>
      <c r="AB45" s="2"/>
      <c r="AE45" s="2"/>
      <c r="AF45" s="2"/>
    </row>
    <row r="46" spans="2:32" x14ac:dyDescent="0.45">
      <c r="B46">
        <v>20640</v>
      </c>
      <c r="C46">
        <v>0</v>
      </c>
      <c r="D46">
        <v>0</v>
      </c>
      <c r="E46" s="2">
        <v>0</v>
      </c>
      <c r="F46">
        <v>0</v>
      </c>
      <c r="G46">
        <v>0</v>
      </c>
      <c r="H46" s="2">
        <v>1E-4</v>
      </c>
      <c r="I46" s="2">
        <v>1E-4</v>
      </c>
      <c r="J46">
        <v>0</v>
      </c>
      <c r="K46" s="2">
        <v>0</v>
      </c>
      <c r="L46" s="2">
        <v>2</v>
      </c>
      <c r="M46" s="2">
        <v>5.8521690947189401E-5</v>
      </c>
      <c r="N46" s="2">
        <f t="shared" si="0"/>
        <v>7.232683133701479</v>
      </c>
      <c r="S46" s="2"/>
      <c r="AB46" s="2"/>
      <c r="AE46" s="2"/>
      <c r="AF46" s="2"/>
    </row>
    <row r="47" spans="2:32" x14ac:dyDescent="0.45">
      <c r="B47">
        <v>20657</v>
      </c>
      <c r="C47">
        <v>0</v>
      </c>
      <c r="D47">
        <v>0</v>
      </c>
      <c r="E47" s="2">
        <v>0</v>
      </c>
      <c r="F47">
        <v>0</v>
      </c>
      <c r="G47">
        <v>0</v>
      </c>
      <c r="H47" s="2">
        <v>1E-4</v>
      </c>
      <c r="I47" s="2">
        <v>1E-4</v>
      </c>
      <c r="J47">
        <v>0</v>
      </c>
      <c r="K47" s="2">
        <v>0</v>
      </c>
      <c r="L47" s="2">
        <v>2</v>
      </c>
      <c r="M47" s="2">
        <v>5.9343016228370899E-5</v>
      </c>
      <c r="N47" s="2">
        <f t="shared" si="0"/>
        <v>7.2266303835660741</v>
      </c>
      <c r="S47" s="2"/>
      <c r="AB47" s="2"/>
      <c r="AE47" s="2"/>
      <c r="AF47" s="2"/>
    </row>
    <row r="48" spans="2:32" x14ac:dyDescent="0.45">
      <c r="B48">
        <v>20673</v>
      </c>
      <c r="C48">
        <v>0</v>
      </c>
      <c r="D48">
        <v>0</v>
      </c>
      <c r="E48" s="2">
        <v>0</v>
      </c>
      <c r="F48">
        <v>0</v>
      </c>
      <c r="G48">
        <v>0</v>
      </c>
      <c r="H48" s="2">
        <v>1E-4</v>
      </c>
      <c r="I48" s="2">
        <v>1E-4</v>
      </c>
      <c r="J48">
        <v>0</v>
      </c>
      <c r="K48" s="2">
        <v>0</v>
      </c>
      <c r="L48" s="2">
        <v>2</v>
      </c>
      <c r="M48" s="2">
        <v>6.0148077855767102E-5</v>
      </c>
      <c r="N48" s="2">
        <f t="shared" si="0"/>
        <v>7.2207782467941621</v>
      </c>
      <c r="S48" s="2"/>
      <c r="AB48" s="2"/>
      <c r="AE48" s="2"/>
      <c r="AF48" s="2"/>
    </row>
    <row r="49" spans="2:32" x14ac:dyDescent="0.45">
      <c r="B49">
        <v>20690</v>
      </c>
      <c r="C49">
        <v>0</v>
      </c>
      <c r="D49">
        <v>0</v>
      </c>
      <c r="E49" s="2">
        <v>0</v>
      </c>
      <c r="F49">
        <v>0</v>
      </c>
      <c r="G49">
        <v>0</v>
      </c>
      <c r="H49" s="2">
        <v>1E-4</v>
      </c>
      <c r="I49" s="2">
        <v>1E-4</v>
      </c>
      <c r="J49">
        <v>0</v>
      </c>
      <c r="K49" s="2">
        <v>0</v>
      </c>
      <c r="L49" s="2">
        <v>2</v>
      </c>
      <c r="M49" s="2">
        <v>6.09371979864221E-5</v>
      </c>
      <c r="N49" s="2">
        <f>-LOG10(M49/1000)</f>
        <v>7.2151175193783992</v>
      </c>
      <c r="S49" s="2"/>
      <c r="AB49" s="2"/>
      <c r="AE49" s="2"/>
      <c r="AF49" s="2"/>
    </row>
    <row r="50" spans="2:32" x14ac:dyDescent="0.45">
      <c r="B50">
        <v>20707</v>
      </c>
      <c r="C50">
        <v>0</v>
      </c>
      <c r="D50">
        <v>0</v>
      </c>
      <c r="E50" s="2">
        <v>0</v>
      </c>
      <c r="F50">
        <v>0</v>
      </c>
      <c r="G50">
        <v>0</v>
      </c>
      <c r="H50" s="2">
        <v>1E-4</v>
      </c>
      <c r="I50" s="2">
        <v>1E-4</v>
      </c>
      <c r="J50">
        <v>0</v>
      </c>
      <c r="K50" s="2">
        <v>0</v>
      </c>
      <c r="L50" s="2">
        <v>2</v>
      </c>
      <c r="M50" s="2">
        <v>6.1710692480427496E-5</v>
      </c>
      <c r="N50" s="2">
        <f t="shared" si="0"/>
        <v>7.209639580165728</v>
      </c>
      <c r="S50" s="2"/>
      <c r="AB50" s="2"/>
      <c r="AE50" s="2"/>
      <c r="AF50" s="2"/>
    </row>
    <row r="51" spans="2:32" x14ac:dyDescent="0.45">
      <c r="B51">
        <v>20723</v>
      </c>
      <c r="C51">
        <v>0</v>
      </c>
      <c r="D51">
        <v>0</v>
      </c>
      <c r="E51" s="2">
        <v>0</v>
      </c>
      <c r="F51">
        <v>0</v>
      </c>
      <c r="G51">
        <v>0</v>
      </c>
      <c r="H51" s="2">
        <v>1E-4</v>
      </c>
      <c r="I51" s="2">
        <v>1E-4</v>
      </c>
      <c r="J51">
        <v>0</v>
      </c>
      <c r="K51" s="2">
        <v>0</v>
      </c>
      <c r="L51" s="2">
        <v>2</v>
      </c>
      <c r="M51" s="2">
        <v>6.2468871065007395E-5</v>
      </c>
      <c r="N51" s="2">
        <f t="shared" si="0"/>
        <v>7.204336342535937</v>
      </c>
      <c r="S51" s="2"/>
      <c r="AB51" s="2"/>
      <c r="AE51" s="2"/>
      <c r="AF51" s="2"/>
    </row>
    <row r="52" spans="2:32" x14ac:dyDescent="0.45">
      <c r="B52">
        <v>20740</v>
      </c>
      <c r="C52">
        <v>0</v>
      </c>
      <c r="D52">
        <v>0</v>
      </c>
      <c r="E52" s="2">
        <v>0</v>
      </c>
      <c r="F52">
        <v>0</v>
      </c>
      <c r="G52">
        <v>0</v>
      </c>
      <c r="H52" s="2">
        <v>1E-4</v>
      </c>
      <c r="I52" s="2">
        <v>1E-4</v>
      </c>
      <c r="J52">
        <v>0</v>
      </c>
      <c r="K52" s="2">
        <v>0</v>
      </c>
      <c r="L52" s="2">
        <v>2</v>
      </c>
      <c r="M52" s="2">
        <v>6.3212036962267601E-5</v>
      </c>
      <c r="N52" s="2">
        <f t="shared" si="0"/>
        <v>7.1992002146205198</v>
      </c>
      <c r="S52" s="2"/>
      <c r="AB52" s="2"/>
      <c r="AE52" s="2"/>
      <c r="AF52" s="2"/>
    </row>
    <row r="53" spans="2:32" x14ac:dyDescent="0.45">
      <c r="E53" s="2"/>
      <c r="H53" s="2"/>
      <c r="I53" s="2"/>
      <c r="AB53" s="2"/>
      <c r="AE53" s="2"/>
      <c r="AF53" s="2"/>
    </row>
    <row r="54" spans="2:32" x14ac:dyDescent="0.45">
      <c r="AB54" s="2"/>
      <c r="AE54" s="2"/>
      <c r="AF54" s="2"/>
    </row>
    <row r="55" spans="2:32" x14ac:dyDescent="0.45">
      <c r="AB55" s="2"/>
      <c r="AE55" s="2"/>
      <c r="AF55" s="2"/>
    </row>
  </sheetData>
  <sortState ref="B2:M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Luis Mayorga</cp:lastModifiedBy>
  <dcterms:created xsi:type="dcterms:W3CDTF">2018-01-05T12:19:57Z</dcterms:created>
  <dcterms:modified xsi:type="dcterms:W3CDTF">2018-02-14T20:56:59Z</dcterms:modified>
</cp:coreProperties>
</file>
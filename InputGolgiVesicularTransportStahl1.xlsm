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19" i="3" l="1"/>
  <c r="C18" i="3"/>
  <c r="F18" i="3" l="1"/>
  <c r="H18" i="3" l="1"/>
  <c r="A56" i="4"/>
  <c r="E11" i="4"/>
  <c r="C11" i="4"/>
  <c r="E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D3" authorId="0" shapeId="0">
      <text>
        <r>
          <rPr>
            <b/>
            <sz val="9"/>
            <color indexed="81"/>
            <rFont val="Tahoma"/>
            <family val="2"/>
          </rPr>
          <t xml:space="preserve">  :</t>
        </r>
        <r>
          <rPr>
            <sz val="9"/>
            <color indexed="81"/>
            <rFont val="Tahoma"/>
            <family val="2"/>
          </rPr>
          <t xml:space="preserve">
When = to 1, trigger maturation in a specific way</t>
        </r>
      </text>
    </comment>
    <comment ref="F3" authorId="0" shapeId="0">
      <text>
        <r>
          <rPr>
            <b/>
            <sz val="9"/>
            <color indexed="81"/>
            <rFont val="Tahoma"/>
            <family val="2"/>
          </rPr>
          <t xml:space="preserve">  :</t>
        </r>
        <r>
          <rPr>
            <sz val="9"/>
            <color indexed="81"/>
            <rFont val="Tahoma"/>
            <family val="2"/>
          </rPr>
          <t xml:space="preserve">
If a domain is les than a given proportion of the initial value, trigger the maturation of the previous domain to compensate
</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<sst xmlns="http://schemas.openxmlformats.org/spreadsheetml/2006/main" count="1697" uniqueCount="171">
  <si>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</si>
  <si>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</si>
  <si>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</si>
  <si>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</si>
  <si>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</si>
  <si>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</si>
  <si>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</si>
  <si>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</si>
  <si>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</si>
  <si>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</si>
  <si>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</si>
  <si>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</si>
  <si>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</si>
  <si>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</si>
  <si>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</si>
  <si>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</si>
  <si>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</si>
  <si>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</si>
  <si>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</si>
  <si>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</si>
  <si>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</si>
  <si>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</si>
  <si>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</si>
  <si>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</si>
  <si>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</si>
  <si>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</si>
  <si>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</si>
  <si>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</si>
  <si>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</si>
  <si>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</si>
  <si>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</si>
  <si>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</si>
  <si>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</si>
  <si>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</si>
  <si>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</si>
  <si>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</si>
  <si>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</si>
  <si>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</si>
  <si>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</si>
  <si>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</si>
  <si>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</si>
  <si>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</si>
  <si>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</si>
  <si>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</si>
  <si>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</si>
  <si>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</si>
  <si>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</si>
  <si>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</si>
  <si>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</si>
  <si>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</si>
  <si>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</si>
  <si>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</si>
  <si>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</si>
  <si>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</si>
  <si>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</si>
  <si>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</si>
  <si>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</si>
  <si>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</si>
  <si>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</si>
  <si>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</si>
  <si>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</si>
  <si>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</si>
  <si>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</si>
  <si>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</si>
  <si>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</si>
  <si>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</si>
  <si>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</si>
  <si>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</si>
  <si>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</si>
  <si>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</si>
  <si>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</si>
  <si>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</si>
  <si>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</si>
  <si>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</si>
  <si>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</si>
  <si>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</si>
  <si>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</si>
  <si>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</si>
  <si>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</si>
  <si>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</si>
  <si>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</si>
  <si>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</si>
  <si>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</si>
  <si>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</si>
  <si>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</si>
  <si>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</si>
  <si>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</si>
  <si>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</si>
  <si>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</si>
  <si>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</si>
  <si>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</si>
  <si>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</si>
  <si>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</si>
  <si>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</si>
  <si>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</si>
  <si>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</si>
  <si>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</si>
  <si>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</si>
  <si>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</si>
  <si>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</si>
  <si>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</si>
  <si>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</si>
  <si>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</si>
  <si>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</si>
  <si>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</si>
  <si>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</si>
  <si>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</si>
  <si>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</si>
  <si>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</si>
  <si>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</si>
  <si>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</si>
  <si>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</si>
  <si>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</si>
  <si>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</si>
  <si>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</si>
  <si>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</si>
  <si>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</si>
  <si>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</si>
  <si>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</si>
  <si>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</si>
  <si>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</si>
  <si>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</si>
  <si>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</si>
  <si>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</si>
  <si>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</si>
  <si>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</si>
  <si>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</si>
  <si>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</si>
  <si>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</si>
  <si>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</si>
  <si>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</si>
  <si>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</si>
  <si>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</si>
  <si>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</si>
  <si>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</si>
  <si>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</si>
  <si>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</si>
  <si>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</si>
  <si>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</si>
  <si>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</si>
  <si>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</si>
  <si>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</si>
  <si>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</si>
  <si>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</si>
  <si>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</si>
  <si>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</si>
  <si>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</si>
  <si>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</si>
  <si>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</si>
  <si>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</si>
  <si>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</si>
  <si>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</si>
  <si>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</si>
  <si>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</si>
  <si>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</si>
  <si>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</si>
  <si>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</si>
  <si>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</si>
  <si>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</si>
  <si>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</si>
  <si>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</si>
  <si>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</si>
  <si>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</si>
  <si>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</si>
  <si>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</si>
  <si>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</si>
  <si>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tub</t>
  </si>
  <si>
    <t>TfR</t>
  </si>
  <si>
    <t>TfRG</t>
  </si>
  <si>
    <t>enzymeM</t>
  </si>
  <si>
    <t>RabE10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</si>
</sst>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Normal="10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169</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169</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0.2</v>
      </c>
    </row>
    <row r="21" spans="1:15" s="7" customFormat="1" x14ac:dyDescent="0.45">
      <c r="A21" s="11" t="s">
        <v>13</v>
      </c>
      <c r="B21" s="11" t="s">
        <v>19</v>
      </c>
      <c r="C21" s="7">
        <v>0</v>
      </c>
      <c r="D21" s="11" t="s">
        <v>15</v>
      </c>
      <c r="E21" s="12">
        <v>1</v>
      </c>
      <c r="F21" s="11" t="s">
        <v>141</v>
      </c>
      <c r="G21" s="7">
        <v>0.2</v>
      </c>
      <c r="H21" s="11"/>
      <c r="I21" s="11"/>
      <c r="J21" s="11"/>
      <c r="K21" s="11"/>
      <c r="L21" s="11"/>
      <c r="M21" s="11"/>
      <c r="N21" s="11"/>
      <c r="O21" s="11"/>
    </row>
    <row r="22" spans="1:15" s="7" customFormat="1" x14ac:dyDescent="0.45">
      <c r="A22" s="11" t="s">
        <v>13</v>
      </c>
      <c r="B22" s="11" t="s">
        <v>71</v>
      </c>
      <c r="C22" s="12">
        <v>0</v>
      </c>
      <c r="D22" s="7" t="s">
        <v>60</v>
      </c>
      <c r="E22" s="7">
        <v>0</v>
      </c>
      <c r="F22" s="11" t="s">
        <v>16</v>
      </c>
      <c r="G22" s="12">
        <v>1</v>
      </c>
      <c r="H22" s="7" t="s">
        <v>142</v>
      </c>
      <c r="I22" s="7">
        <v>0.2</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1</v>
      </c>
      <c r="J23" s="7" t="s">
        <v>143</v>
      </c>
      <c r="K23" s="7">
        <v>0.2</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167</v>
      </c>
      <c r="C35" s="11" t="s">
        <v>168</v>
      </c>
      <c r="D35" s="11" t="s">
        <v>150</v>
      </c>
      <c r="E35" s="11" t="s">
        <v>169</v>
      </c>
      <c r="F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167</v>
      </c>
      <c r="C37" s="11" t="s">
        <v>166</v>
      </c>
      <c r="D37" s="11"/>
      <c r="E37" s="11"/>
      <c r="F37" s="11"/>
      <c r="G37" s="11"/>
      <c r="H37" s="11"/>
      <c r="I37" s="11"/>
      <c r="J37" s="11"/>
      <c r="K37" s="11"/>
      <c r="L37" s="11"/>
      <c r="M37" s="11"/>
      <c r="N37" s="11"/>
      <c r="O37" s="11"/>
    </row>
    <row r="38" spans="1:16" s="7" customFormat="1" x14ac:dyDescent="0.45">
      <c r="A38" s="11" t="s">
        <v>33</v>
      </c>
      <c r="B38" s="11" t="s">
        <v>168</v>
      </c>
      <c r="C38" s="11" t="s">
        <v>166</v>
      </c>
      <c r="D38" s="11"/>
      <c r="E38" s="11"/>
      <c r="F38" s="11"/>
      <c r="G38" s="11"/>
      <c r="H38" s="11"/>
      <c r="I38" s="11"/>
      <c r="J38" s="11"/>
      <c r="K38" s="11"/>
      <c r="L38" s="11"/>
      <c r="M38" s="11"/>
      <c r="N38" s="11"/>
      <c r="O38" s="11"/>
    </row>
    <row r="39" spans="1:16" s="7" customFormat="1" x14ac:dyDescent="0.45">
      <c r="A39" s="11" t="s">
        <v>33</v>
      </c>
      <c r="B39" s="11" t="s">
        <v>150</v>
      </c>
      <c r="C39" s="11" t="s">
        <v>170</v>
      </c>
      <c r="D39" s="11"/>
      <c r="E39" s="11"/>
      <c r="G39" s="11"/>
      <c r="H39" s="11"/>
      <c r="I39" s="11"/>
      <c r="J39" s="11"/>
      <c r="K39" s="11"/>
      <c r="L39" s="11"/>
      <c r="M39" s="11"/>
      <c r="N39" s="11"/>
      <c r="O39" s="11"/>
    </row>
    <row r="40" spans="1:16" s="7" customFormat="1" x14ac:dyDescent="0.45">
      <c r="A40" s="11" t="s">
        <v>33</v>
      </c>
      <c r="B40" s="11" t="s">
        <v>169</v>
      </c>
      <c r="C40" s="11" t="s">
        <v>85</v>
      </c>
      <c r="F40" s="11"/>
      <c r="G40" s="11"/>
      <c r="H40" s="11"/>
      <c r="I40" s="11"/>
      <c r="J40" s="11"/>
      <c r="K40" s="11"/>
      <c r="L40" s="11"/>
      <c r="M40" s="11"/>
      <c r="N40" s="11"/>
      <c r="O40" s="11"/>
    </row>
    <row r="41" spans="1:16" s="7" customFormat="1" x14ac:dyDescent="0.45">
      <c r="A41" s="11" t="s">
        <v>11</v>
      </c>
      <c r="B41" s="11"/>
      <c r="C41" s="11"/>
      <c r="D41" s="11"/>
      <c r="E41" s="11"/>
      <c r="F41" s="11"/>
      <c r="G41" s="11"/>
      <c r="H41" s="11"/>
      <c r="I41" s="11"/>
      <c r="J41" s="11"/>
      <c r="K41" s="11"/>
      <c r="L41" s="11"/>
      <c r="M41" s="11"/>
      <c r="N41" s="11"/>
      <c r="O41" s="11"/>
    </row>
    <row r="42" spans="1:16" s="7" customFormat="1" x14ac:dyDescent="0.45">
      <c r="A42" s="11" t="s">
        <v>33</v>
      </c>
      <c r="B42" s="11" t="s">
        <v>87</v>
      </c>
      <c r="C42" s="11"/>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167</v>
      </c>
      <c r="D60" s="11">
        <v>0</v>
      </c>
      <c r="E60" s="11" t="s">
        <v>168</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150</v>
      </c>
      <c r="D64" s="11">
        <v>0</v>
      </c>
      <c r="E64" s="11" t="s">
        <v>87</v>
      </c>
      <c r="F64" s="11">
        <v>0</v>
      </c>
      <c r="J64" s="11"/>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169</v>
      </c>
      <c r="D68" s="11">
        <v>0</v>
      </c>
      <c r="E68" s="11"/>
      <c r="F68" s="11"/>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169</v>
      </c>
      <c r="D72" s="11">
        <v>0</v>
      </c>
      <c r="E72" s="11"/>
      <c r="F72" s="11"/>
      <c r="G72" s="11"/>
      <c r="H72" s="11"/>
      <c r="I72" s="11"/>
      <c r="J72" s="11"/>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c r="F76" s="11"/>
      <c r="G76" s="11"/>
      <c r="H76" s="11"/>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167</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150</v>
      </c>
      <c r="D84" s="11">
        <v>0</v>
      </c>
      <c r="E84" s="11" t="s">
        <v>87</v>
      </c>
      <c r="F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abSelected="1"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PI()*550^2*2 + 2*PI()*550*20</f>
        <v>1969778.5938008002</v>
      </c>
      <c r="E18" t="s">
        <v>163</v>
      </c>
      <c r="F18">
        <f>6*PI()*35^2</f>
        <v>23090.706003884978</v>
      </c>
      <c r="G18" t="s">
        <v>164</v>
      </c>
      <c r="H18">
        <f>C18/F18</f>
        <v>85.306122448979593</v>
      </c>
    </row>
    <row r="19" spans="1:8" x14ac:dyDescent="0.45">
      <c r="B19" t="s">
        <v>161</v>
      </c>
      <c r="C19">
        <f>PI()*550^2*20</f>
        <v>19006635.554218248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2019-12-04T20:26:45Z</dcterms:modified>
</cp:coreProperties>
</file>
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C19" i="3" l="1"/>
  <c r="C18" i="3"/>
  <c r="F18" i="3" l="1"/>
  <c r="H18" i="3" l="1"/>
  <c r="A56" i="4"/>
  <c r="E11" i="4"/>
  <c r="C11" i="4"/>
  <c r="E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D3" authorId="0" shapeId="0">
      <text>
        <r>
          <rPr>
            <b/>
            <sz val="9"/>
            <color indexed="81"/>
            <rFont val="Tahoma"/>
            <family val="2"/>
          </rPr>
          <t xml:space="preserve">  :</t>
        </r>
        <r>
          <rPr>
            <sz val="9"/>
            <color indexed="81"/>
            <rFont val="Tahoma"/>
            <family val="2"/>
          </rPr>
          <t xml:space="preserve">
When = to 1, trigger maturation in a specific way</t>
        </r>
      </text>
    </comment>
    <comment ref="F3" authorId="0" shapeId="0">
      <text>
        <r>
          <rPr>
            <b/>
            <sz val="9"/>
            <color indexed="81"/>
            <rFont val="Tahoma"/>
            <family val="2"/>
          </rPr>
          <t xml:space="preserve">  :</t>
        </r>
        <r>
          <rPr>
            <sz val="9"/>
            <color indexed="81"/>
            <rFont val="Tahoma"/>
            <family val="2"/>
          </rPr>
          <t xml:space="preserve">
If a domain is les than a given proportion of the initial value, trigger the maturation of the previous domain to compensate
</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<sst xmlns="http://schemas.openxmlformats.org/spreadsheetml/2006/main" count="1686" uniqueCount="170">
  <si>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</si>
  <si>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</si>
  <si>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</si>
  <si>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</si>
  <si>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</si>
  <si>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</si>
  <si>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</si>
  <si>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</si>
  <si>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</si>
  <si>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</si>
  <si>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</si>
  <si>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</si>
  <si>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</si>
  <si>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</si>
  <si>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</si>
  <si>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</si>
  <si>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</si>
  <si>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</si>
  <si>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</si>
  <si>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</si>
  <si>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</si>
  <si>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</si>
  <si>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</si>
  <si>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</si>
  <si>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</si>
  <si>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</si>
  <si>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</si>
  <si>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</si>
  <si>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</si>
  <si>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</si>
  <si>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</si>
  <si>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</si>
  <si>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</si>
  <si>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</si>
  <si>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</si>
  <si>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</si>
  <si>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</si>
  <si>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</si>
  <si>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</si>
  <si>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</si>
  <si>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</si>
  <si>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</si>
  <si>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</si>
  <si>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</si>
  <si>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</si>
  <si>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</si>
  <si>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</si>
  <si>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</si>
  <si>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</si>
  <si>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</si>
  <si>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</si>
  <si>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</si>
  <si>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</si>
  <si>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</si>
  <si>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</si>
  <si>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</si>
  <si>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</si>
  <si>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</si>
  <si>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</si>
  <si>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</si>
  <si>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</si>
  <si>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</si>
  <si>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</si>
  <si>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</si>
  <si>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</si>
  <si>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</si>
  <si>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</si>
  <si>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</si>
  <si>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</si>
  <si>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</si>
  <si>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</si>
  <si>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</si>
  <si>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</si>
  <si>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</si>
  <si>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</si>
  <si>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</si>
  <si>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</si>
  <si>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</si>
  <si>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</si>
  <si>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</si>
  <si>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</si>
  <si>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</si>
  <si>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</si>
  <si>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</si>
  <si>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</si>
  <si>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</si>
  <si>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</si>
  <si>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</si>
  <si>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</si>
  <si>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</si>
  <si>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</si>
  <si>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</si>
  <si>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</si>
  <si>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</si>
  <si>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</si>
  <si>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</si>
  <si>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</si>
  <si>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</si>
  <si>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</si>
  <si>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</si>
  <si>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</si>
  <si>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</si>
  <si>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</si>
  <si>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</si>
  <si>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</si>
  <si>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</si>
  <si>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</si>
  <si>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</si>
  <si>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</si>
  <si>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</si>
  <si>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</si>
  <si>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</si>
  <si>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</si>
  <si>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</si>
  <si>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</si>
  <si>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</si>
  <si>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</si>
  <si>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</si>
  <si>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</si>
  <si>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</si>
  <si>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</si>
  <si>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</si>
  <si>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</si>
  <si>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</si>
  <si>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</si>
  <si>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</si>
  <si>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</si>
  <si>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</si>
  <si>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</si>
  <si>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</si>
  <si>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</si>
  <si>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</si>
  <si>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</si>
  <si>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</si>
  <si>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</si>
  <si>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</si>
  <si>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</si>
  <si>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</si>
  <si>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</si>
  <si>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</si>
  <si>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</si>
  <si>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</si>
  <si>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</si>
  <si>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</si>
  <si>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</si>
  <si>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</si>
  <si>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</si>
  <si>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</si>
  <si>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</si>
  <si>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</si>
  <si>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</si>
  <si>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</si>
  <si>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</si>
  <si>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</si>
  <si>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</si>
  <si>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</si>
  <si>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</si>
  <si>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</si>
  <si>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</si>
  <si>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</si>
  <si>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</si>
  <si>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</si>
  <si>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</si>
  <si>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</si>
  <si>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</si>
  <si>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</si>
  <si>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tub</t>
  </si>
  <si>
    <t>TfR</t>
  </si>
  <si>
    <t>enzymeM</t>
  </si>
  <si>
    <t>RabE10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</si>
</sst>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Normal="10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0</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168</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168</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0.1</v>
      </c>
    </row>
    <row r="21" spans="1:15" s="7" customFormat="1" x14ac:dyDescent="0.45">
      <c r="A21" s="11" t="s">
        <v>13</v>
      </c>
      <c r="B21" s="11" t="s">
        <v>19</v>
      </c>
      <c r="C21" s="7">
        <v>0</v>
      </c>
      <c r="D21" s="11" t="s">
        <v>15</v>
      </c>
      <c r="E21" s="12">
        <v>1</v>
      </c>
      <c r="F21" s="11" t="s">
        <v>141</v>
      </c>
      <c r="G21" s="7">
        <v>0.5</v>
      </c>
      <c r="H21" s="11"/>
      <c r="I21" s="11"/>
      <c r="J21" s="11"/>
      <c r="K21" s="11"/>
      <c r="L21" s="11"/>
      <c r="M21" s="11"/>
      <c r="N21" s="11"/>
      <c r="O21" s="11"/>
    </row>
    <row r="22" spans="1:15" s="7" customFormat="1" x14ac:dyDescent="0.45">
      <c r="A22" s="11" t="s">
        <v>13</v>
      </c>
      <c r="B22" s="11" t="s">
        <v>71</v>
      </c>
      <c r="C22" s="12">
        <v>0</v>
      </c>
      <c r="D22" s="7" t="s">
        <v>60</v>
      </c>
      <c r="E22" s="7">
        <v>0</v>
      </c>
      <c r="F22" s="11" t="s">
        <v>16</v>
      </c>
      <c r="G22" s="12">
        <v>1</v>
      </c>
      <c r="H22" s="7" t="s">
        <v>142</v>
      </c>
      <c r="I22" s="7">
        <v>0.5</v>
      </c>
      <c r="J22" s="11"/>
      <c r="K22" s="11"/>
      <c r="L22" s="11"/>
      <c r="M22" s="11"/>
      <c r="N22" s="11"/>
      <c r="O22" s="11"/>
    </row>
    <row r="23" spans="1:15" s="7" customFormat="1" x14ac:dyDescent="0.45">
      <c r="A23" s="11" t="s">
        <v>13</v>
      </c>
      <c r="B23" s="11" t="s">
        <v>20</v>
      </c>
      <c r="C23" s="12">
        <v>0</v>
      </c>
      <c r="D23" s="7" t="s">
        <v>72</v>
      </c>
      <c r="E23" s="7">
        <v>0</v>
      </c>
      <c r="F23" s="7" t="s">
        <v>74</v>
      </c>
      <c r="G23" s="7">
        <v>0</v>
      </c>
      <c r="H23" s="11" t="s">
        <v>17</v>
      </c>
      <c r="I23" s="12">
        <v>1</v>
      </c>
      <c r="J23" s="7" t="s">
        <v>143</v>
      </c>
      <c r="K23" s="7">
        <v>0.1</v>
      </c>
      <c r="L23" s="11"/>
      <c r="M23" s="11"/>
      <c r="N23" s="11"/>
      <c r="O23" s="11"/>
    </row>
    <row r="24" spans="1:15" s="7" customFormat="1" x14ac:dyDescent="0.45">
      <c r="A24" s="11" t="s">
        <v>13</v>
      </c>
      <c r="B24" s="11" t="s">
        <v>70</v>
      </c>
      <c r="C24" s="12">
        <v>0</v>
      </c>
      <c r="D24" s="7" t="s">
        <v>73</v>
      </c>
      <c r="E24" s="7">
        <v>0</v>
      </c>
      <c r="F24" s="7" t="s">
        <v>21</v>
      </c>
      <c r="G24" s="7">
        <v>0</v>
      </c>
      <c r="H24" s="7" t="s">
        <v>75</v>
      </c>
      <c r="I24" s="7">
        <v>0</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v>
      </c>
      <c r="D30" s="11" t="s">
        <v>7</v>
      </c>
      <c r="E30" s="12">
        <v>1</v>
      </c>
      <c r="F30" s="11" t="s">
        <v>8</v>
      </c>
      <c r="G30" s="12">
        <v>1</v>
      </c>
      <c r="H30" s="11" t="s">
        <v>9</v>
      </c>
      <c r="I30" s="12">
        <v>1</v>
      </c>
      <c r="J30" s="11" t="s">
        <v>10</v>
      </c>
      <c r="K30" s="12">
        <v>0</v>
      </c>
      <c r="L30" s="11"/>
      <c r="M30" s="11"/>
      <c r="N30" s="11"/>
      <c r="O30" s="11"/>
    </row>
    <row r="31" spans="1:15" s="7" customFormat="1" x14ac:dyDescent="0.45">
      <c r="A31" s="11" t="s">
        <v>122</v>
      </c>
      <c r="B31" s="11" t="s">
        <v>6</v>
      </c>
      <c r="C31" s="12">
        <v>-1E-3</v>
      </c>
      <c r="D31" s="11" t="s">
        <v>7</v>
      </c>
      <c r="E31" s="12">
        <v>0</v>
      </c>
      <c r="F31" s="11" t="s">
        <v>8</v>
      </c>
      <c r="G31" s="12">
        <v>0</v>
      </c>
      <c r="H31" s="11" t="s">
        <v>9</v>
      </c>
      <c r="I31" s="12">
        <v>0</v>
      </c>
      <c r="J31" s="11" t="s">
        <v>10</v>
      </c>
      <c r="K31" s="12">
        <v>0.1</v>
      </c>
      <c r="L31" s="11"/>
      <c r="M31" s="11"/>
      <c r="N31" s="11"/>
      <c r="O31" s="11"/>
    </row>
    <row r="32" spans="1:15" s="7" customFormat="1" x14ac:dyDescent="0.45">
      <c r="A32" s="11" t="s">
        <v>123</v>
      </c>
      <c r="B32" s="11" t="s">
        <v>6</v>
      </c>
      <c r="C32" s="12">
        <v>-1E-3</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1</v>
      </c>
      <c r="L33" s="11"/>
      <c r="M33" s="11"/>
      <c r="N33" s="11"/>
      <c r="O33" s="11"/>
    </row>
    <row r="34" spans="1:16" s="7" customFormat="1" x14ac:dyDescent="0.45">
      <c r="A34" s="11" t="s">
        <v>98</v>
      </c>
      <c r="B34" s="11" t="s">
        <v>6</v>
      </c>
      <c r="C34" s="12" t="s">
        <v>102</v>
      </c>
      <c r="D34" s="11" t="s">
        <v>7</v>
      </c>
      <c r="E34" s="11" t="s">
        <v>99</v>
      </c>
      <c r="F34" s="11" t="s">
        <v>8</v>
      </c>
      <c r="G34" s="11" t="s">
        <v>144</v>
      </c>
      <c r="H34" s="11" t="s">
        <v>9</v>
      </c>
      <c r="I34" s="11" t="s">
        <v>100</v>
      </c>
      <c r="J34" s="11" t="s">
        <v>10</v>
      </c>
      <c r="K34" s="11" t="s">
        <v>101</v>
      </c>
      <c r="L34" s="11"/>
      <c r="M34" s="11"/>
      <c r="N34" s="11"/>
      <c r="O34" s="11"/>
    </row>
    <row r="35" spans="1:16" s="7" customFormat="1" x14ac:dyDescent="0.45">
      <c r="A35" s="11" t="s">
        <v>22</v>
      </c>
      <c r="B35" s="11" t="s">
        <v>154</v>
      </c>
      <c r="C35" s="11" t="s">
        <v>152</v>
      </c>
      <c r="D35" s="11" t="s">
        <v>150</v>
      </c>
      <c r="E35" s="11" t="s">
        <v>151</v>
      </c>
      <c r="F35" s="11" t="s">
        <v>87</v>
      </c>
      <c r="G35" s="11" t="s">
        <v>153</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137</v>
      </c>
      <c r="D37" s="11"/>
      <c r="E37" s="11"/>
      <c r="F37" s="11"/>
      <c r="G37" s="11"/>
      <c r="H37" s="11"/>
      <c r="I37" s="11"/>
      <c r="J37" s="11"/>
      <c r="K37" s="11"/>
      <c r="L37" s="11"/>
      <c r="M37" s="11"/>
      <c r="N37" s="11"/>
      <c r="O37" s="11"/>
    </row>
    <row r="38" spans="1:16" s="7" customFormat="1" x14ac:dyDescent="0.45">
      <c r="A38" s="11" t="s">
        <v>33</v>
      </c>
      <c r="B38" s="11" t="s">
        <v>153</v>
      </c>
      <c r="C38" s="11" t="s">
        <v>169</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166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t="s">
        <v>166</v>
      </c>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2000000</v>
      </c>
      <c r="E57" s="11" t="s">
        <v>92</v>
      </c>
      <c r="F57" s="11">
        <v>0</v>
      </c>
      <c r="G57" s="11" t="s">
        <v>90</v>
      </c>
      <c r="H57" s="11">
        <v>60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M59" s="11"/>
      <c r="N59" s="11"/>
      <c r="O59" s="11"/>
    </row>
    <row r="60" spans="1:16" s="7" customFormat="1" x14ac:dyDescent="0.45">
      <c r="A60" s="11" t="s">
        <v>41</v>
      </c>
      <c r="B60" s="11" t="s">
        <v>51</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c r="D63" s="11"/>
      <c r="E63" s="11"/>
      <c r="F63" s="11"/>
      <c r="G63" s="11"/>
      <c r="H63" s="11"/>
      <c r="K63" s="11"/>
      <c r="L63" s="11"/>
      <c r="M63" s="11"/>
      <c r="N63" s="11"/>
      <c r="O63" s="11"/>
    </row>
    <row r="64" spans="1:16" s="7" customFormat="1" x14ac:dyDescent="0.45">
      <c r="A64" s="11" t="s">
        <v>43</v>
      </c>
      <c r="B64" s="11" t="s">
        <v>51</v>
      </c>
      <c r="C64" s="11"/>
      <c r="D64" s="11"/>
      <c r="E64" s="11"/>
      <c r="F64" s="11"/>
      <c r="J64" s="11"/>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c r="D67" s="11"/>
      <c r="E67" s="11"/>
      <c r="F67" s="11"/>
      <c r="G67" s="11"/>
      <c r="H67" s="11"/>
      <c r="I67" s="11"/>
      <c r="J67" s="11"/>
      <c r="K67" s="11"/>
      <c r="L67" s="11"/>
      <c r="M67" s="11"/>
      <c r="N67" s="11"/>
      <c r="O67" s="11"/>
    </row>
    <row r="68" spans="1:15" s="7" customFormat="1" x14ac:dyDescent="0.45">
      <c r="A68" s="11" t="s">
        <v>44</v>
      </c>
      <c r="B68" s="11" t="s">
        <v>51</v>
      </c>
      <c r="C68" s="11"/>
      <c r="D68" s="11"/>
      <c r="E68" s="11"/>
      <c r="F68" s="11"/>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c r="D71" s="11"/>
      <c r="E71" s="11"/>
      <c r="F71" s="11"/>
      <c r="G71" s="11"/>
      <c r="H71" s="11"/>
      <c r="I71" s="11"/>
      <c r="J71" s="11"/>
      <c r="K71" s="11"/>
      <c r="L71" s="11"/>
      <c r="M71" s="11"/>
      <c r="N71" s="11"/>
      <c r="O71" s="11"/>
    </row>
    <row r="72" spans="1:15" s="7" customFormat="1" x14ac:dyDescent="0.45">
      <c r="A72" s="11" t="s">
        <v>45</v>
      </c>
      <c r="B72" s="11" t="s">
        <v>51</v>
      </c>
      <c r="C72" s="11"/>
      <c r="D72" s="11"/>
      <c r="E72" s="11"/>
      <c r="F72" s="11"/>
      <c r="G72" s="11"/>
      <c r="H72" s="11"/>
      <c r="I72" s="11"/>
      <c r="J72" s="11"/>
      <c r="K72" s="11"/>
      <c r="L72" s="11"/>
      <c r="M72" s="11"/>
      <c r="N72" s="11"/>
      <c r="O72" s="11"/>
    </row>
    <row r="73" spans="1:15" s="7" customFormat="1" x14ac:dyDescent="0.45">
      <c r="A73" s="11" t="s">
        <v>46</v>
      </c>
      <c r="B73" s="11" t="s">
        <v>48</v>
      </c>
      <c r="C73" s="12" t="s">
        <v>42</v>
      </c>
      <c r="D73" s="11">
        <v>2000000</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c r="D75" s="11"/>
      <c r="E75" s="11"/>
      <c r="F75" s="11"/>
      <c r="G75" s="11"/>
      <c r="H75" s="11"/>
      <c r="I75" s="11"/>
      <c r="J75" s="11"/>
      <c r="K75" s="11"/>
      <c r="L75" s="11"/>
      <c r="M75" s="11"/>
      <c r="N75" s="11"/>
      <c r="O75" s="11"/>
    </row>
    <row r="76" spans="1:15" s="7" customFormat="1" x14ac:dyDescent="0.45">
      <c r="A76" s="11" t="s">
        <v>46</v>
      </c>
      <c r="B76" s="11" t="s">
        <v>51</v>
      </c>
      <c r="C76" s="11"/>
      <c r="D76" s="11"/>
      <c r="E76" s="11"/>
      <c r="F76" s="11"/>
      <c r="G76" s="11"/>
      <c r="H76" s="11"/>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167</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150</v>
      </c>
      <c r="D84" s="11">
        <v>0</v>
      </c>
      <c r="E84" s="11" t="s">
        <v>87</v>
      </c>
      <c r="F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abSelected="1" topLeftCell="A2" zoomScale="93" zoomScaleNormal="93" workbookViewId="0">
      <selection activeCell="F24" sqref="F24"/>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PI()*550^2*2 + 2*PI()*550*20</f>
        <v>1969778.5938008002</v>
      </c>
      <c r="E18" t="s">
        <v>163</v>
      </c>
      <c r="F18">
        <f>6*PI()*35^2</f>
        <v>23090.706003884978</v>
      </c>
      <c r="G18" t="s">
        <v>164</v>
      </c>
      <c r="H18">
        <f>C18/F18</f>
        <v>85.306122448979593</v>
      </c>
    </row>
    <row r="19" spans="1:8" x14ac:dyDescent="0.45">
      <c r="B19" t="s">
        <v>161</v>
      </c>
      <c r="C19">
        <f>PI()*550^2*20</f>
        <v>19006635.554218248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26" sqref="A26:J2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6" spans="1:15" x14ac:dyDescent="0.45">
      <c r="A26" s="12" t="s">
        <v>103</v>
      </c>
      <c r="B26" s="11">
        <v>0.1</v>
      </c>
      <c r="C26" s="11" t="s">
        <v>58</v>
      </c>
      <c r="D26" s="11">
        <v>1</v>
      </c>
      <c r="E26" s="11" t="s">
        <v>78</v>
      </c>
      <c r="F26" s="11">
        <v>1E-4</v>
      </c>
      <c r="G26" s="7" t="s">
        <v>105</v>
      </c>
      <c r="H26" s="7">
        <v>0.1</v>
      </c>
      <c r="I26" s="11"/>
      <c r="J26" s="11"/>
    </row>
    <row r="27" spans="1:15" x14ac:dyDescent="0.45">
      <c r="A27" s="11" t="s">
        <v>154</v>
      </c>
      <c r="B27" s="11">
        <v>0.1</v>
      </c>
      <c r="C27" s="11" t="s">
        <v>153</v>
      </c>
      <c r="D27" s="11">
        <v>0.1</v>
      </c>
      <c r="E27" s="11" t="s">
        <v>150</v>
      </c>
      <c r="F27" s="11">
        <v>0.1</v>
      </c>
      <c r="G27" s="11" t="s">
        <v>87</v>
      </c>
      <c r="H27" s="11">
        <v>1</v>
      </c>
      <c r="I27" s="7"/>
      <c r="J27" s="7"/>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2019-12-09T21:14:31Z</dcterms:modified>
</cp:coreProperties>
</file>